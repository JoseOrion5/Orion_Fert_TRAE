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n\Documents\GitHub\Orion_Fert-NTB\"/>
    </mc:Choice>
  </mc:AlternateContent>
  <xr:revisionPtr revIDLastSave="0" documentId="8_{F324AFC9-56F8-474D-973A-3534FE7B3252}" xr6:coauthVersionLast="47" xr6:coauthVersionMax="47" xr10:uidLastSave="{00000000-0000-0000-0000-000000000000}"/>
  <bookViews>
    <workbookView xWindow="-108" yWindow="-108" windowWidth="23256" windowHeight="12456" xr2:uid="{2455A37A-3F84-455A-A591-18693FBF9B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7" i="1"/>
  <c r="H8" i="1"/>
  <c r="E7" i="1"/>
  <c r="B5" i="1" l="1"/>
  <c r="F9" i="1"/>
  <c r="F10" i="1" s="1"/>
  <c r="F11" i="1" s="1"/>
  <c r="C10" i="1" l="1"/>
  <c r="B10" i="1" l="1"/>
  <c r="D6" i="1"/>
  <c r="D10" i="1" s="1"/>
  <c r="D11" i="1" s="1"/>
  <c r="G10" i="1"/>
  <c r="G11" i="1" s="1"/>
  <c r="E10" i="1" l="1"/>
  <c r="E11" i="1" s="1"/>
  <c r="H10" i="1"/>
  <c r="H11" i="1" s="1"/>
  <c r="B8" i="1"/>
  <c r="B7" i="1"/>
  <c r="B6" i="1"/>
</calcChain>
</file>

<file path=xl/sharedStrings.xml><?xml version="1.0" encoding="utf-8"?>
<sst xmlns="http://schemas.openxmlformats.org/spreadsheetml/2006/main" count="22" uniqueCount="17">
  <si>
    <t>N</t>
  </si>
  <si>
    <t>B</t>
  </si>
  <si>
    <t>Ureia</t>
  </si>
  <si>
    <t>Agua</t>
  </si>
  <si>
    <t>Produção (kg)</t>
  </si>
  <si>
    <t>Produção (L)</t>
  </si>
  <si>
    <t>Densidade aparente(g/L)</t>
  </si>
  <si>
    <t>Formula (%)</t>
  </si>
  <si>
    <t>Total</t>
  </si>
  <si>
    <t>g/L</t>
  </si>
  <si>
    <t>S</t>
  </si>
  <si>
    <t>Zn</t>
  </si>
  <si>
    <t>Mn</t>
  </si>
  <si>
    <t>Sulfato de Manganês MonoHidratado</t>
  </si>
  <si>
    <t>Ácido Bóro</t>
  </si>
  <si>
    <t>MICrO-Citri (17/01/22)</t>
  </si>
  <si>
    <t>Sulfato de Zinco HeptaHidratado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</si>
</sst>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0.0000"/>
    <numFmt numFmtId="166" formatCode="_-* #,##0.000_-;\-* #,##0.000_-;_-* &quot;-&quot;??_-;_-@_-"/>
    <numFmt numFmtId="167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10" fontId="0" fillId="0" borderId="0" xfId="1" applyNumberFormat="1" applyFont="1"/>
    <xf numFmtId="43" fontId="0" fillId="0" borderId="0" xfId="2" applyFont="1"/>
    <xf numFmtId="164" fontId="0" fillId="0" borderId="0" xfId="2" applyNumberFormat="1" applyFont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5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2" fillId="0" borderId="4" xfId="0" applyFont="1" applyBorder="1"/>
    <xf numFmtId="165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10" xfId="0" applyFont="1" applyBorder="1"/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2" fontId="3" fillId="2" borderId="3" xfId="0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0" fontId="2" fillId="0" borderId="6" xfId="0" applyFont="1" applyBorder="1" applyAlignment="1">
      <alignment horizontal="center" vertical="center" wrapText="1"/>
    </xf>
    <xf numFmtId="164" fontId="0" fillId="0" borderId="0" xfId="1" applyNumberFormat="1" applyFont="1"/>
    <xf numFmtId="164" fontId="3" fillId="2" borderId="17" xfId="1" applyNumberFormat="1" applyFont="1" applyFill="1" applyBorder="1"/>
    <xf numFmtId="165" fontId="0" fillId="3" borderId="18" xfId="0" applyNumberFormat="1" applyFill="1" applyBorder="1"/>
    <xf numFmtId="165" fontId="0" fillId="3" borderId="17" xfId="0" applyNumberFormat="1" applyFill="1" applyBorder="1"/>
    <xf numFmtId="165" fontId="0" fillId="3" borderId="19" xfId="0" applyNumberFormat="1" applyFill="1" applyBorder="1"/>
    <xf numFmtId="166" fontId="0" fillId="3" borderId="2" xfId="2" applyNumberFormat="1" applyFont="1" applyFill="1" applyBorder="1" applyAlignment="1">
      <alignment horizontal="right"/>
    </xf>
    <xf numFmtId="166" fontId="0" fillId="3" borderId="3" xfId="2" applyNumberFormat="1" applyFont="1" applyFill="1" applyBorder="1" applyAlignment="1">
      <alignment horizontal="right"/>
    </xf>
    <xf numFmtId="166" fontId="0" fillId="3" borderId="20" xfId="2" applyNumberFormat="1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164" fontId="0" fillId="0" borderId="0" xfId="0" applyNumberFormat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1</xdr:row>
      <xdr:rowOff>85725</xdr:rowOff>
    </xdr:from>
    <xdr:to>
      <xdr:col>13</xdr:col>
      <xdr:colOff>18712</xdr:colOff>
      <xdr:row>9</xdr:row>
      <xdr:rowOff>119776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7989F2-16A4-4E97-AF4C-F644468BE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285750"/>
          <a:ext cx="2704762" cy="19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11</xdr:row>
      <xdr:rowOff>28574</xdr:rowOff>
    </xdr:from>
    <xdr:to>
      <xdr:col>17</xdr:col>
      <xdr:colOff>452948</xdr:colOff>
      <xdr:row>17</xdr:row>
      <xdr:rowOff>123350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74EA55-4DAD-4A2D-B968-C111018BF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4650" y="2714624"/>
          <a:ext cx="2472248" cy="1266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5430-D1C0-481D-91A2-34B456DB2BB3}">
  <dimension ref="A1:K17"/>
  <sheetViews>
    <sheetView tabSelected="1" workbookViewId="0">
      <selection activeCell="C17" sqref="C17"/>
    </sheetView>
  </sheetViews>
  <sheetFormatPr defaultRowHeight="14.4" x14ac:dyDescent="0.3"/>
  <cols>
    <col min="1" max="1" width="23.44140625" bestFit="1" customWidth="1"/>
    <col min="2" max="2" width="14.33203125" bestFit="1" customWidth="1"/>
    <col min="3" max="3" width="12.5546875" bestFit="1" customWidth="1"/>
    <col min="4" max="4" width="11.5546875" bestFit="1" customWidth="1"/>
    <col min="5" max="6" width="10.5546875" bestFit="1" customWidth="1"/>
    <col min="7" max="7" width="12.44140625" customWidth="1"/>
    <col min="8" max="8" width="10.5546875" bestFit="1" customWidth="1"/>
    <col min="11" max="11" width="9.109375" style="23"/>
  </cols>
  <sheetData>
    <row r="1" spans="1:11" ht="15" thickBot="1" x14ac:dyDescent="0.35"/>
    <row r="2" spans="1:11" x14ac:dyDescent="0.3">
      <c r="A2" s="10"/>
      <c r="B2" s="10"/>
      <c r="C2" s="33" t="s">
        <v>15</v>
      </c>
      <c r="D2" s="34"/>
      <c r="E2" s="34"/>
      <c r="F2" s="34"/>
      <c r="G2" s="35"/>
      <c r="H2" s="10"/>
    </row>
    <row r="3" spans="1:11" ht="15" thickBot="1" x14ac:dyDescent="0.35">
      <c r="A3" s="10"/>
      <c r="B3" s="10"/>
      <c r="C3" s="36"/>
      <c r="D3" s="37"/>
      <c r="E3" s="37"/>
      <c r="F3" s="37"/>
      <c r="G3" s="38"/>
      <c r="H3" s="10"/>
      <c r="K3"/>
    </row>
    <row r="4" spans="1:11" x14ac:dyDescent="0.3">
      <c r="A4" s="13"/>
      <c r="B4" s="18" t="s">
        <v>4</v>
      </c>
      <c r="C4" s="18" t="s">
        <v>7</v>
      </c>
      <c r="D4" s="18" t="s">
        <v>0</v>
      </c>
      <c r="E4" s="18" t="s">
        <v>12</v>
      </c>
      <c r="F4" s="18" t="s">
        <v>11</v>
      </c>
      <c r="G4" s="18" t="s">
        <v>10</v>
      </c>
      <c r="H4" s="18" t="s">
        <v>1</v>
      </c>
      <c r="K4"/>
    </row>
    <row r="5" spans="1:11" x14ac:dyDescent="0.3">
      <c r="A5" s="19" t="s">
        <v>3</v>
      </c>
      <c r="B5" s="14">
        <f>B$13*C5</f>
        <v>752.10970588235296</v>
      </c>
      <c r="C5" s="39">
        <v>0.50140647058823529</v>
      </c>
      <c r="D5" s="11"/>
      <c r="E5" s="11"/>
      <c r="F5" s="11"/>
      <c r="G5" s="11"/>
      <c r="H5" s="11"/>
      <c r="K5"/>
    </row>
    <row r="6" spans="1:11" x14ac:dyDescent="0.3">
      <c r="A6" s="19" t="s">
        <v>2</v>
      </c>
      <c r="B6" s="14">
        <f>B$13*C6</f>
        <v>250.155</v>
      </c>
      <c r="C6" s="15">
        <v>0.16677</v>
      </c>
      <c r="D6" s="12">
        <f>C6*0.45</f>
        <v>7.5046500000000002E-2</v>
      </c>
      <c r="E6" s="12"/>
      <c r="F6" s="12"/>
      <c r="G6" s="12"/>
      <c r="H6" s="12"/>
      <c r="K6"/>
    </row>
    <row r="7" spans="1:11" ht="27.6" x14ac:dyDescent="0.3">
      <c r="A7" s="24" t="s">
        <v>13</v>
      </c>
      <c r="B7" s="14">
        <f>B$13*C7</f>
        <v>129</v>
      </c>
      <c r="C7" s="15">
        <v>8.5999999999999993E-2</v>
      </c>
      <c r="D7" s="12"/>
      <c r="E7" s="12">
        <f>C7*0.26</f>
        <v>2.2359999999999998E-2</v>
      </c>
      <c r="F7" s="12"/>
      <c r="G7" s="12">
        <f>0.16*C7</f>
        <v>1.376E-2</v>
      </c>
      <c r="H7" s="12"/>
      <c r="K7"/>
    </row>
    <row r="8" spans="1:11" x14ac:dyDescent="0.3">
      <c r="A8" s="19" t="s">
        <v>14</v>
      </c>
      <c r="B8" s="14">
        <f>B$13*C8</f>
        <v>88.235294117647058</v>
      </c>
      <c r="C8" s="15">
        <v>5.8823529411764705E-2</v>
      </c>
      <c r="D8" s="12"/>
      <c r="E8" s="12"/>
      <c r="F8" s="12"/>
      <c r="G8" s="12"/>
      <c r="H8" s="12">
        <f>0.17*C8</f>
        <v>0.01</v>
      </c>
      <c r="K8"/>
    </row>
    <row r="9" spans="1:11" ht="28.2" thickBot="1" x14ac:dyDescent="0.35">
      <c r="A9" s="20" t="s">
        <v>16</v>
      </c>
      <c r="B9" s="14">
        <v>19</v>
      </c>
      <c r="C9" s="15">
        <v>0.187</v>
      </c>
      <c r="D9" s="12"/>
      <c r="E9" s="12"/>
      <c r="F9" s="12">
        <f>C9*0.2</f>
        <v>3.7400000000000003E-2</v>
      </c>
      <c r="G9" s="12">
        <f>0.09*C9</f>
        <v>1.6829999999999998E-2</v>
      </c>
      <c r="H9" s="12"/>
      <c r="K9"/>
    </row>
    <row r="10" spans="1:11" ht="15" thickBot="1" x14ac:dyDescent="0.35">
      <c r="A10" s="16" t="s">
        <v>8</v>
      </c>
      <c r="B10" s="21">
        <f>B$13*C10</f>
        <v>1500</v>
      </c>
      <c r="C10" s="22">
        <f>SUM(C5:C9)</f>
        <v>1</v>
      </c>
      <c r="D10" s="26">
        <f>SUM(D5:D9)</f>
        <v>7.5046500000000002E-2</v>
      </c>
      <c r="E10" s="26">
        <f>SUM(E5:E9)</f>
        <v>2.2359999999999998E-2</v>
      </c>
      <c r="F10" s="26">
        <f>SUM(F5:F9)</f>
        <v>3.7400000000000003E-2</v>
      </c>
      <c r="G10" s="26">
        <f>SUM(G5:G9)</f>
        <v>3.0589999999999999E-2</v>
      </c>
      <c r="H10" s="26">
        <f>SUM(H5:H9)</f>
        <v>0.01</v>
      </c>
      <c r="K10"/>
    </row>
    <row r="11" spans="1:11" ht="16.2" thickBot="1" x14ac:dyDescent="0.35">
      <c r="D11" s="27">
        <f>D10*1500</f>
        <v>112.56975</v>
      </c>
      <c r="E11" s="28">
        <f>E10*1500</f>
        <v>33.54</v>
      </c>
      <c r="F11" s="28">
        <f>F10*1500</f>
        <v>56.1</v>
      </c>
      <c r="G11" s="28">
        <f>G10*1500</f>
        <v>45.884999999999998</v>
      </c>
      <c r="H11" s="29">
        <f>H10*1500</f>
        <v>15</v>
      </c>
      <c r="J11" s="17"/>
    </row>
    <row r="12" spans="1:11" ht="15" thickBot="1" x14ac:dyDescent="0.35">
      <c r="A12" s="4" t="s">
        <v>5</v>
      </c>
      <c r="B12" s="7">
        <v>1000</v>
      </c>
      <c r="D12" s="30" t="s">
        <v>9</v>
      </c>
      <c r="E12" s="31" t="s">
        <v>9</v>
      </c>
      <c r="F12" s="31" t="s">
        <v>9</v>
      </c>
      <c r="G12" s="31" t="s">
        <v>9</v>
      </c>
      <c r="H12" s="32" t="s">
        <v>9</v>
      </c>
    </row>
    <row r="13" spans="1:11" ht="15.6" x14ac:dyDescent="0.3">
      <c r="A13" s="5" t="s">
        <v>4</v>
      </c>
      <c r="B13" s="8">
        <v>1500</v>
      </c>
      <c r="J13" s="17"/>
    </row>
    <row r="14" spans="1:11" ht="15" thickBot="1" x14ac:dyDescent="0.35">
      <c r="A14" s="6" t="s">
        <v>6</v>
      </c>
      <c r="B14" s="9">
        <v>1500</v>
      </c>
    </row>
    <row r="15" spans="1:11" x14ac:dyDescent="0.3">
      <c r="B15" s="2"/>
      <c r="C15" s="2"/>
      <c r="D15" s="2"/>
    </row>
    <row r="16" spans="1:11" x14ac:dyDescent="0.3">
      <c r="B16" s="2"/>
      <c r="C16" s="2"/>
      <c r="D16" s="3"/>
      <c r="E16" s="1"/>
    </row>
    <row r="17" spans="3:6" x14ac:dyDescent="0.3">
      <c r="C17" s="39"/>
      <c r="F17" s="25"/>
    </row>
  </sheetData>
  <mergeCells count="1">
    <mergeCell ref="C2:G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Turfa Fertil Agro</dc:creator>
  <cp:lastModifiedBy>Orion Bonotto</cp:lastModifiedBy>
  <dcterms:created xsi:type="dcterms:W3CDTF">2020-10-07T12:51:53Z</dcterms:created>
  <dcterms:modified xsi:type="dcterms:W3CDTF">2026-04-24T13:49:02Z</dcterms:modified>
</cp:coreProperties>
</file>