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on\Documents\GitHub\Orion_Fert-NTB\"/>
    </mc:Choice>
  </mc:AlternateContent>
  <xr:revisionPtr revIDLastSave="0" documentId="8_{8D4E8CB5-9B56-40FE-BF8D-AB7D18CF2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K14" i="1"/>
  <c r="J12" i="1"/>
  <c r="J10" i="1"/>
  <c r="J14" i="1" s="1"/>
  <c r="D13" i="1"/>
  <c r="C14" i="1"/>
  <c r="F8" i="1"/>
  <c r="D8" i="1"/>
  <c r="D11" i="1"/>
  <c r="D14" i="1" l="1"/>
  <c r="B19" i="1"/>
  <c r="B6" i="1" l="1"/>
  <c r="B7" i="1"/>
  <c r="B8" i="1"/>
  <c r="B12" i="1"/>
  <c r="B9" i="1"/>
  <c r="B10" i="1"/>
  <c r="B13" i="1"/>
  <c r="B11" i="1" l="1"/>
  <c r="B14" i="1" s="1"/>
  <c r="F7" i="1" l="1"/>
  <c r="F14" i="1" s="1"/>
  <c r="I12" i="1"/>
  <c r="I14" i="1" s="1"/>
  <c r="H14" i="1"/>
  <c r="G9" i="1" l="1"/>
  <c r="G14" i="1" s="1"/>
  <c r="E11" i="1"/>
  <c r="E14" i="1" s="1"/>
</calcChain>
</file>

<file path=xl/sharedStrings.xml><?xml version="1.0" encoding="utf-8"?>
<sst xmlns="http://schemas.openxmlformats.org/spreadsheetml/2006/main" count="25" uniqueCount="25">
  <si>
    <t>Insumos</t>
  </si>
  <si>
    <t>Agua</t>
  </si>
  <si>
    <t>Acido Bórico</t>
  </si>
  <si>
    <t>Uréia</t>
  </si>
  <si>
    <t>Cloreto de Potássio</t>
  </si>
  <si>
    <t>Sulfato 17% de Zinco 35% MonoHidrat</t>
  </si>
  <si>
    <t>Sulfato 12% de Cobre 25% PentaHidart</t>
  </si>
  <si>
    <t>N</t>
  </si>
  <si>
    <t>P</t>
  </si>
  <si>
    <t>K</t>
  </si>
  <si>
    <t>B</t>
  </si>
  <si>
    <t>Zn</t>
  </si>
  <si>
    <t>Cu</t>
  </si>
  <si>
    <t>Balanço %</t>
  </si>
  <si>
    <t>Total</t>
  </si>
  <si>
    <t>Solicitado %</t>
  </si>
  <si>
    <t>Quantidade a produzir (L)</t>
  </si>
  <si>
    <t>Densidade aproximada</t>
  </si>
  <si>
    <t>Quantidade (kg)</t>
  </si>
  <si>
    <t>Monofosfato amonico (MAP)</t>
  </si>
  <si>
    <t>Nitrato Potássio (12-00-44)</t>
  </si>
  <si>
    <t>Maracuja-1</t>
  </si>
  <si>
    <t>PRODUÇÃO (kg)</t>
  </si>
  <si>
    <t>SO4</t>
  </si>
  <si>
    <t>Carbono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</si>
</sst>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0.0000%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36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5" borderId="2" xfId="0" applyFont="1" applyFill="1" applyBorder="1"/>
    <xf numFmtId="165" fontId="2" fillId="3" borderId="1" xfId="1" applyNumberFormat="1" applyFont="1" applyFill="1" applyBorder="1" applyAlignment="1">
      <alignment horizontal="center"/>
    </xf>
    <xf numFmtId="165" fontId="2" fillId="0" borderId="1" xfId="1" applyNumberFormat="1" applyFont="1" applyBorder="1" applyAlignment="1"/>
    <xf numFmtId="0" fontId="4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2" xfId="0" applyFont="1" applyBorder="1"/>
    <xf numFmtId="0" fontId="2" fillId="0" borderId="13" xfId="0" applyFont="1" applyBorder="1"/>
    <xf numFmtId="43" fontId="2" fillId="0" borderId="0" xfId="2" applyFont="1"/>
    <xf numFmtId="164" fontId="2" fillId="0" borderId="0" xfId="0" applyNumberFormat="1" applyFont="1"/>
    <xf numFmtId="165" fontId="2" fillId="0" borderId="0" xfId="2" applyNumberFormat="1" applyFont="1"/>
    <xf numFmtId="0" fontId="2" fillId="0" borderId="1" xfId="0" applyFont="1" applyBorder="1"/>
    <xf numFmtId="166" fontId="5" fillId="0" borderId="1" xfId="0" applyNumberFormat="1" applyFont="1" applyBorder="1" applyAlignment="1">
      <alignment horizontal="center"/>
    </xf>
    <xf numFmtId="165" fontId="2" fillId="0" borderId="1" xfId="1" applyNumberFormat="1" applyFont="1" applyBorder="1"/>
    <xf numFmtId="0" fontId="4" fillId="0" borderId="10" xfId="0" applyFont="1" applyBorder="1"/>
    <xf numFmtId="0" fontId="5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165" fontId="2" fillId="0" borderId="3" xfId="1" applyNumberFormat="1" applyFont="1" applyBorder="1"/>
    <xf numFmtId="0" fontId="2" fillId="4" borderId="12" xfId="0" applyFont="1" applyFill="1" applyBorder="1"/>
    <xf numFmtId="0" fontId="5" fillId="4" borderId="15" xfId="0" applyFont="1" applyFill="1" applyBorder="1" applyAlignment="1">
      <alignment horizontal="center"/>
    </xf>
    <xf numFmtId="165" fontId="2" fillId="4" borderId="15" xfId="1" applyNumberFormat="1" applyFont="1" applyFill="1" applyBorder="1" applyAlignment="1">
      <alignment horizontal="center"/>
    </xf>
    <xf numFmtId="165" fontId="4" fillId="4" borderId="15" xfId="1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328085</xdr:colOff>
      <xdr:row>4</xdr:row>
      <xdr:rowOff>95250</xdr:rowOff>
    </xdr:from>
    <xdr:to>
      <xdr:col>15</xdr:col>
      <xdr:colOff>116417</xdr:colOff>
      <xdr:row>17</xdr:row>
      <xdr:rowOff>40957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075046-98DE-4735-89A0-7ADE3628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6918" y="878417"/>
          <a:ext cx="2243666" cy="25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315383</xdr:colOff>
      <xdr:row>21</xdr:row>
      <xdr:rowOff>88565</xdr:rowOff>
    </xdr:from>
    <xdr:to>
      <xdr:col>18</xdr:col>
      <xdr:colOff>418008</xdr:colOff>
      <xdr:row>30</xdr:row>
      <xdr:rowOff>73684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103885-8D41-4886-9A52-A6CEBB732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7316" y="4254165"/>
          <a:ext cx="4488359" cy="158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3" zoomScale="90" zoomScaleNormal="90" workbookViewId="0">
      <selection activeCell="E23" sqref="E23"/>
    </sheetView>
  </sheetViews>
  <sheetFormatPr defaultColWidth="9.109375" defaultRowHeight="13.8" x14ac:dyDescent="0.25"/>
  <cols>
    <col min="1" max="1" width="40" style="1" bestFit="1" customWidth="1"/>
    <col min="2" max="2" width="19.6640625" style="1" bestFit="1" customWidth="1"/>
    <col min="3" max="3" width="13.5546875" style="1" bestFit="1" customWidth="1"/>
    <col min="4" max="4" width="12.5546875" style="1" bestFit="1" customWidth="1"/>
    <col min="5" max="9" width="10.6640625" style="1" bestFit="1" customWidth="1"/>
    <col min="10" max="10" width="9.109375" style="1"/>
    <col min="11" max="11" width="9.6640625" style="1" bestFit="1" customWidth="1"/>
    <col min="12" max="16384" width="9.109375" style="1"/>
  </cols>
  <sheetData>
    <row r="1" spans="1:11" ht="14.4" thickBot="1" x14ac:dyDescent="0.3"/>
    <row r="2" spans="1:11" ht="15" customHeight="1" x14ac:dyDescent="0.25">
      <c r="A2" s="30" t="s">
        <v>21</v>
      </c>
      <c r="B2" s="31"/>
      <c r="C2" s="31"/>
      <c r="D2" s="31"/>
      <c r="E2" s="31"/>
      <c r="F2" s="31"/>
      <c r="G2" s="31"/>
      <c r="H2" s="31"/>
      <c r="I2" s="31"/>
    </row>
    <row r="3" spans="1:11" x14ac:dyDescent="0.25">
      <c r="A3" s="32"/>
      <c r="B3" s="33"/>
      <c r="C3" s="33"/>
      <c r="D3" s="33"/>
      <c r="E3" s="33"/>
      <c r="F3" s="33"/>
      <c r="G3" s="33"/>
      <c r="H3" s="33"/>
      <c r="I3" s="33"/>
    </row>
    <row r="4" spans="1:11" ht="14.4" thickBot="1" x14ac:dyDescent="0.3">
      <c r="A4" s="32"/>
      <c r="B4" s="33"/>
      <c r="C4" s="33"/>
      <c r="D4" s="33"/>
      <c r="E4" s="33"/>
      <c r="F4" s="33"/>
      <c r="G4" s="33"/>
      <c r="H4" s="33"/>
      <c r="I4" s="33"/>
    </row>
    <row r="5" spans="1:11" ht="15.6" x14ac:dyDescent="0.3">
      <c r="A5" s="20" t="s">
        <v>0</v>
      </c>
      <c r="B5" s="21" t="s">
        <v>22</v>
      </c>
      <c r="C5" s="22" t="s">
        <v>13</v>
      </c>
      <c r="D5" s="23" t="s">
        <v>7</v>
      </c>
      <c r="E5" s="23" t="s">
        <v>8</v>
      </c>
      <c r="F5" s="23" t="s">
        <v>9</v>
      </c>
      <c r="G5" s="23" t="s">
        <v>10</v>
      </c>
      <c r="H5" s="23" t="s">
        <v>11</v>
      </c>
      <c r="I5" s="23" t="s">
        <v>12</v>
      </c>
      <c r="J5" s="24" t="s">
        <v>23</v>
      </c>
      <c r="K5" s="9" t="s">
        <v>24</v>
      </c>
    </row>
    <row r="6" spans="1:11" ht="15.6" x14ac:dyDescent="0.3">
      <c r="A6" s="2" t="s">
        <v>1</v>
      </c>
      <c r="B6" s="18">
        <f>B$19*C6</f>
        <v>610.20593599999995</v>
      </c>
      <c r="C6" s="3">
        <v>0.50016879999999997</v>
      </c>
      <c r="D6" s="4"/>
      <c r="E6" s="4"/>
      <c r="F6" s="4"/>
      <c r="G6" s="4"/>
      <c r="H6" s="4"/>
      <c r="I6" s="4"/>
      <c r="J6" s="17"/>
      <c r="K6" s="25"/>
    </row>
    <row r="7" spans="1:11" ht="15.6" x14ac:dyDescent="0.3">
      <c r="A7" s="2" t="s">
        <v>4</v>
      </c>
      <c r="B7" s="18">
        <f>B$19*C7</f>
        <v>170.8</v>
      </c>
      <c r="C7" s="3">
        <v>0.14000000000000001</v>
      </c>
      <c r="D7" s="4"/>
      <c r="E7" s="4"/>
      <c r="F7" s="4">
        <f>C7*0.6</f>
        <v>8.4000000000000005E-2</v>
      </c>
      <c r="G7" s="4"/>
      <c r="H7" s="4"/>
      <c r="I7" s="4"/>
      <c r="J7" s="19"/>
      <c r="K7" s="25"/>
    </row>
    <row r="8" spans="1:11" ht="15.6" x14ac:dyDescent="0.3">
      <c r="A8" s="2" t="s">
        <v>20</v>
      </c>
      <c r="B8" s="18">
        <f>B$19*C8</f>
        <v>99.817959999999999</v>
      </c>
      <c r="C8" s="3">
        <v>8.1818000000000002E-2</v>
      </c>
      <c r="D8" s="4">
        <f>C8*0.12</f>
        <v>9.8181599999999994E-3</v>
      </c>
      <c r="E8" s="4"/>
      <c r="F8" s="4">
        <f>C8*0.44</f>
        <v>3.5999919999999998E-2</v>
      </c>
      <c r="G8" s="4"/>
      <c r="H8" s="4"/>
      <c r="I8" s="4"/>
      <c r="J8" s="19"/>
      <c r="K8" s="25"/>
    </row>
    <row r="9" spans="1:11" ht="15.6" x14ac:dyDescent="0.3">
      <c r="A9" s="2" t="s">
        <v>2</v>
      </c>
      <c r="B9" s="18">
        <f>B$19*C9</f>
        <v>0.86132000000000009</v>
      </c>
      <c r="C9" s="3">
        <v>7.0600000000000003E-4</v>
      </c>
      <c r="D9" s="4"/>
      <c r="E9" s="4"/>
      <c r="F9" s="4"/>
      <c r="G9" s="4">
        <f>C9*0.17</f>
        <v>1.2002000000000002E-4</v>
      </c>
      <c r="H9" s="4"/>
      <c r="I9" s="4"/>
      <c r="J9" s="19"/>
      <c r="K9" s="25"/>
    </row>
    <row r="10" spans="1:11" ht="15.6" x14ac:dyDescent="0.3">
      <c r="A10" s="2" t="s">
        <v>5</v>
      </c>
      <c r="B10" s="18">
        <f>B$19*C10</f>
        <v>4.1821599999999997</v>
      </c>
      <c r="C10" s="3">
        <v>3.4280000000000001E-3</v>
      </c>
      <c r="D10" s="4"/>
      <c r="E10" s="4"/>
      <c r="F10" s="4"/>
      <c r="G10" s="4"/>
      <c r="H10" s="4">
        <f>C10*0.35</f>
        <v>1.1998E-3</v>
      </c>
      <c r="I10" s="4"/>
      <c r="J10" s="19">
        <f>C10*0.17</f>
        <v>5.8276000000000009E-4</v>
      </c>
      <c r="K10" s="25"/>
    </row>
    <row r="11" spans="1:11" ht="15.6" x14ac:dyDescent="0.3">
      <c r="A11" s="2" t="s">
        <v>19</v>
      </c>
      <c r="B11" s="18">
        <f>B$19*C11</f>
        <v>81.337399999999988</v>
      </c>
      <c r="C11" s="3">
        <v>6.6669999999999993E-2</v>
      </c>
      <c r="D11" s="4">
        <f>C11*0.11</f>
        <v>7.3336999999999994E-3</v>
      </c>
      <c r="E11" s="4">
        <f>C11*0.61</f>
        <v>4.0668699999999995E-2</v>
      </c>
      <c r="F11" s="4"/>
      <c r="G11" s="4"/>
      <c r="H11" s="4"/>
      <c r="I11" s="4"/>
      <c r="J11" s="19"/>
      <c r="K11" s="25"/>
    </row>
    <row r="12" spans="1:11" ht="15.6" x14ac:dyDescent="0.3">
      <c r="A12" s="2" t="s">
        <v>6</v>
      </c>
      <c r="B12" s="18">
        <f>B$19*C12</f>
        <v>1.0736000000000001</v>
      </c>
      <c r="C12" s="3">
        <v>8.8000000000000003E-4</v>
      </c>
      <c r="D12" s="4"/>
      <c r="E12" s="4"/>
      <c r="F12" s="4"/>
      <c r="G12" s="4"/>
      <c r="H12" s="4"/>
      <c r="I12" s="4">
        <f>C12*0.25</f>
        <v>2.2000000000000001E-4</v>
      </c>
      <c r="J12" s="19">
        <f>C12*0.12</f>
        <v>1.0560000000000001E-4</v>
      </c>
      <c r="K12" s="25"/>
    </row>
    <row r="13" spans="1:11" ht="15.6" x14ac:dyDescent="0.3">
      <c r="A13" s="10" t="s">
        <v>3</v>
      </c>
      <c r="B13" s="18">
        <f>B$19*C13</f>
        <v>251.72162399999999</v>
      </c>
      <c r="C13" s="3">
        <v>0.20632919999999999</v>
      </c>
      <c r="D13" s="4">
        <f>C13*0.45</f>
        <v>9.2848139999999996E-2</v>
      </c>
      <c r="E13" s="4"/>
      <c r="F13" s="4"/>
      <c r="G13" s="4"/>
      <c r="H13" s="4"/>
      <c r="I13" s="4"/>
      <c r="J13" s="19"/>
      <c r="K13" s="25"/>
    </row>
    <row r="14" spans="1:11" ht="16.2" thickBot="1" x14ac:dyDescent="0.35">
      <c r="A14" s="26" t="s">
        <v>14</v>
      </c>
      <c r="B14" s="27">
        <f>SUM(B6:B13)</f>
        <v>1220</v>
      </c>
      <c r="C14" s="28">
        <f>SUM(C6:C13)</f>
        <v>1</v>
      </c>
      <c r="D14" s="29">
        <f>SUM(D6:D13)</f>
        <v>0.10999999999999999</v>
      </c>
      <c r="E14" s="29">
        <f>SUM(E6:E13)</f>
        <v>4.0668699999999995E-2</v>
      </c>
      <c r="F14" s="29">
        <f>SUM(F6:F13)</f>
        <v>0.11999992000000001</v>
      </c>
      <c r="G14" s="29">
        <f>SUM(G6:G13)</f>
        <v>1.2002000000000002E-4</v>
      </c>
      <c r="H14" s="29">
        <f>SUM(H6:H13)</f>
        <v>1.1998E-3</v>
      </c>
      <c r="I14" s="29">
        <f>SUM(I6:I13)</f>
        <v>2.2000000000000001E-4</v>
      </c>
      <c r="J14" s="29">
        <f>SUM(J6:J13)</f>
        <v>6.8836000000000006E-4</v>
      </c>
      <c r="K14" s="29">
        <f t="shared" ref="K14" si="0">SUM(K6:K13)</f>
        <v>0</v>
      </c>
    </row>
    <row r="15" spans="1:11" ht="14.4" thickBot="1" x14ac:dyDescent="0.3"/>
    <row r="16" spans="1:11" ht="14.4" thickBot="1" x14ac:dyDescent="0.3">
      <c r="C16" s="5" t="s">
        <v>15</v>
      </c>
      <c r="D16" s="6">
        <v>10</v>
      </c>
      <c r="E16" s="6">
        <v>4</v>
      </c>
      <c r="F16" s="6">
        <v>12</v>
      </c>
      <c r="G16" s="6">
        <v>1.2E-2</v>
      </c>
      <c r="H16" s="6">
        <v>0.12</v>
      </c>
      <c r="I16" s="7">
        <v>2.1999999999999999E-2</v>
      </c>
    </row>
    <row r="17" spans="1:12" x14ac:dyDescent="0.25">
      <c r="A17" s="8" t="s">
        <v>16</v>
      </c>
      <c r="B17" s="9">
        <v>1000</v>
      </c>
    </row>
    <row r="18" spans="1:12" x14ac:dyDescent="0.25">
      <c r="A18" s="10" t="s">
        <v>17</v>
      </c>
      <c r="B18" s="11">
        <v>1.22</v>
      </c>
      <c r="C18" s="14"/>
      <c r="D18" s="16"/>
      <c r="E18" s="14"/>
      <c r="F18" s="14"/>
      <c r="G18" s="14"/>
      <c r="H18" s="14"/>
      <c r="I18" s="14"/>
    </row>
    <row r="19" spans="1:12" ht="14.4" thickBot="1" x14ac:dyDescent="0.3">
      <c r="A19" s="12" t="s">
        <v>18</v>
      </c>
      <c r="B19" s="13">
        <f>B17*B18</f>
        <v>1220</v>
      </c>
      <c r="C19" s="16"/>
      <c r="D19" s="14"/>
      <c r="E19" s="14"/>
      <c r="F19" s="14"/>
      <c r="G19" s="14"/>
      <c r="H19" s="14"/>
      <c r="I19" s="14"/>
    </row>
    <row r="20" spans="1:12" x14ac:dyDescent="0.25">
      <c r="C20" s="14"/>
      <c r="D20" s="14"/>
      <c r="E20" s="14"/>
      <c r="F20" s="14"/>
      <c r="G20" s="14"/>
      <c r="H20" s="14"/>
      <c r="I20" s="14"/>
    </row>
    <row r="21" spans="1:12" x14ac:dyDescent="0.25">
      <c r="C21" s="14"/>
      <c r="D21" s="14"/>
      <c r="E21" s="14"/>
      <c r="F21" s="14"/>
      <c r="G21" s="14"/>
      <c r="H21" s="14"/>
      <c r="I21" s="14"/>
    </row>
    <row r="22" spans="1:12" x14ac:dyDescent="0.25">
      <c r="C22" s="14"/>
      <c r="D22" s="14"/>
      <c r="E22" s="14"/>
      <c r="F22" s="14"/>
      <c r="G22" s="14"/>
      <c r="H22" s="14"/>
      <c r="I22" s="14"/>
    </row>
    <row r="23" spans="1:12" x14ac:dyDescent="0.25">
      <c r="C23" s="14"/>
      <c r="D23" s="14"/>
      <c r="E23" s="14"/>
      <c r="F23" s="14"/>
      <c r="G23" s="14"/>
      <c r="H23" s="14"/>
      <c r="I23" s="14"/>
    </row>
    <row r="24" spans="1:12" x14ac:dyDescent="0.25">
      <c r="C24" s="14"/>
      <c r="D24" s="14"/>
      <c r="E24" s="14"/>
      <c r="F24" s="14"/>
      <c r="G24" s="14"/>
      <c r="H24" s="14"/>
      <c r="I24" s="14"/>
    </row>
    <row r="25" spans="1:12" x14ac:dyDescent="0.25">
      <c r="C25" s="14"/>
      <c r="D25" s="14"/>
      <c r="E25" s="14"/>
      <c r="F25" s="14"/>
      <c r="G25" s="14"/>
      <c r="H25" s="14"/>
      <c r="I25" s="14"/>
    </row>
    <row r="26" spans="1:12" x14ac:dyDescent="0.25">
      <c r="C26" s="14"/>
      <c r="D26" s="14"/>
      <c r="E26" s="14"/>
      <c r="F26" s="14"/>
      <c r="G26" s="14"/>
      <c r="H26" s="14"/>
      <c r="I26" s="14"/>
      <c r="L26" s="15"/>
    </row>
  </sheetData>
  <mergeCells count="1">
    <mergeCell ref="A2:I4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HFF FLORESTAL SA</dc:creator>
  <cp:lastModifiedBy>Orion Bonotto</cp:lastModifiedBy>
  <dcterms:created xsi:type="dcterms:W3CDTF">2018-06-04T18:38:51Z</dcterms:created>
  <dcterms:modified xsi:type="dcterms:W3CDTF">2026-04-24T13:47:20Z</dcterms:modified>
</cp:coreProperties>
</file>