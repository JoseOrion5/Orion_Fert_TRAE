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ion\Documents\GitHub\Orion_Fert-NTB\"/>
    </mc:Choice>
  </mc:AlternateContent>
  <xr:revisionPtr revIDLastSave="0" documentId="8_{180C5662-9D1C-42F2-8BC6-B97ACA85D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8" i="1"/>
  <c r="B21" i="1"/>
  <c r="B9" i="1" s="1"/>
  <c r="B8" i="1" l="1"/>
  <c r="B12" i="1"/>
  <c r="B15" i="1"/>
  <c r="B11" i="1"/>
  <c r="B14" i="1"/>
  <c r="B10" i="1"/>
  <c r="B13" i="1"/>
  <c r="F12" i="1"/>
  <c r="E15" i="1"/>
  <c r="E9" i="1"/>
  <c r="E12" i="1" l="1"/>
  <c r="F11" i="1"/>
  <c r="D16" i="1" l="1"/>
  <c r="B16" i="1" s="1"/>
  <c r="G10" i="1"/>
  <c r="E10" i="1"/>
  <c r="E16" i="1" s="1"/>
  <c r="F10" i="1"/>
  <c r="F16" i="1" s="1"/>
  <c r="G16" i="1" l="1"/>
</calcChain>
</file>

<file path=xl/sharedStrings.xml><?xml version="1.0" encoding="utf-8"?>
<sst xmlns="http://schemas.openxmlformats.org/spreadsheetml/2006/main" count="39" uniqueCount="32">
  <si>
    <t xml:space="preserve">           Porcentagem de macro e micros</t>
  </si>
  <si>
    <t>FORMULAÇÃO</t>
  </si>
  <si>
    <t>Unidade</t>
  </si>
  <si>
    <t>%</t>
  </si>
  <si>
    <t>% Real N</t>
  </si>
  <si>
    <t>%Real P</t>
  </si>
  <si>
    <t>%Real de K</t>
  </si>
  <si>
    <t>%Real de Micros</t>
  </si>
  <si>
    <t>espessante</t>
  </si>
  <si>
    <t>kg</t>
  </si>
  <si>
    <t>odorizante</t>
  </si>
  <si>
    <t>acidificante</t>
  </si>
  <si>
    <t>Nitrato de Amônio</t>
  </si>
  <si>
    <t>Q2 5211</t>
  </si>
  <si>
    <t>Kg</t>
  </si>
  <si>
    <t>Antiespumante</t>
  </si>
  <si>
    <t>Uréia</t>
  </si>
  <si>
    <t>Total Kg</t>
  </si>
  <si>
    <t>Formula (%)</t>
  </si>
  <si>
    <t>Quantidade em (kg)</t>
  </si>
  <si>
    <t>Densidade prevista</t>
  </si>
  <si>
    <t>Quantidade em solicitada (L)</t>
  </si>
  <si>
    <t>Insumos</t>
  </si>
  <si>
    <t>Produzir</t>
  </si>
  <si>
    <t>N-25%</t>
  </si>
  <si>
    <t>a38,53</t>
  </si>
  <si>
    <t>gli25,6917</t>
  </si>
  <si>
    <t>ur569,</t>
  </si>
  <si>
    <t>acf 12,84</t>
  </si>
  <si>
    <t>na389</t>
  </si>
  <si>
    <t>ant7,70751</t>
  </si>
  <si>
    <t>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</si>
</sst>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0.000000"/>
    <numFmt numFmtId="167" formatCode="0.0000000000"/>
    <numFmt numFmtId="168" formatCode="_-* #,##0.000000_-;\-* #,##0.000000_-;_-* &quot;-&quot;????_-;_-@_-"/>
    <numFmt numFmtId="169" formatCode="0.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0" borderId="7" xfId="0" applyFont="1" applyBorder="1"/>
    <xf numFmtId="0" fontId="2" fillId="0" borderId="13" xfId="0" applyFont="1" applyBorder="1"/>
    <xf numFmtId="0" fontId="2" fillId="0" borderId="8" xfId="0" applyFont="1" applyBorder="1"/>
    <xf numFmtId="0" fontId="4" fillId="0" borderId="8" xfId="0" applyFont="1" applyBorder="1"/>
    <xf numFmtId="0" fontId="2" fillId="0" borderId="9" xfId="0" applyFont="1" applyBorder="1"/>
    <xf numFmtId="167" fontId="2" fillId="0" borderId="0" xfId="0" applyNumberFormat="1" applyFont="1"/>
    <xf numFmtId="164" fontId="4" fillId="0" borderId="8" xfId="0" applyNumberFormat="1" applyFont="1" applyBorder="1"/>
    <xf numFmtId="164" fontId="2" fillId="0" borderId="8" xfId="0" applyNumberFormat="1" applyFont="1" applyBorder="1"/>
    <xf numFmtId="0" fontId="2" fillId="0" borderId="10" xfId="0" applyFont="1" applyBorder="1"/>
    <xf numFmtId="165" fontId="2" fillId="0" borderId="14" xfId="0" applyNumberFormat="1" applyFont="1" applyBorder="1"/>
    <xf numFmtId="0" fontId="2" fillId="0" borderId="11" xfId="0" applyFont="1" applyBorder="1"/>
    <xf numFmtId="169" fontId="4" fillId="0" borderId="11" xfId="1" applyNumberFormat="1" applyFont="1" applyBorder="1"/>
    <xf numFmtId="10" fontId="2" fillId="0" borderId="11" xfId="1" applyNumberFormat="1" applyFont="1" applyBorder="1"/>
    <xf numFmtId="10" fontId="2" fillId="0" borderId="12" xfId="1" applyNumberFormat="1" applyFont="1" applyBorder="1"/>
    <xf numFmtId="0" fontId="2" fillId="0" borderId="2" xfId="0" applyFont="1" applyBorder="1"/>
    <xf numFmtId="0" fontId="2" fillId="0" borderId="1" xfId="0" applyFont="1" applyBorder="1"/>
    <xf numFmtId="169" fontId="4" fillId="0" borderId="1" xfId="1" applyNumberFormat="1" applyFont="1" applyBorder="1"/>
    <xf numFmtId="10" fontId="2" fillId="0" borderId="1" xfId="1" applyNumberFormat="1" applyFont="1" applyBorder="1"/>
    <xf numFmtId="10" fontId="2" fillId="0" borderId="3" xfId="1" applyNumberFormat="1" applyFont="1" applyBorder="1"/>
    <xf numFmtId="168" fontId="2" fillId="0" borderId="0" xfId="0" applyNumberFormat="1" applyFont="1"/>
    <xf numFmtId="0" fontId="2" fillId="0" borderId="4" xfId="0" applyFont="1" applyBorder="1"/>
    <xf numFmtId="0" fontId="2" fillId="0" borderId="5" xfId="0" applyFont="1" applyBorder="1"/>
    <xf numFmtId="169" fontId="4" fillId="0" borderId="5" xfId="1" applyNumberFormat="1" applyFont="1" applyBorder="1"/>
    <xf numFmtId="10" fontId="2" fillId="0" borderId="5" xfId="1" applyNumberFormat="1" applyFont="1" applyBorder="1"/>
    <xf numFmtId="10" fontId="2" fillId="0" borderId="6" xfId="1" applyNumberFormat="1" applyFont="1" applyBorder="1"/>
    <xf numFmtId="166" fontId="2" fillId="0" borderId="0" xfId="0" applyNumberFormat="1" applyFont="1"/>
    <xf numFmtId="169" fontId="4" fillId="0" borderId="8" xfId="1" applyNumberFormat="1" applyFont="1" applyBorder="1"/>
    <xf numFmtId="10" fontId="2" fillId="0" borderId="8" xfId="1" applyNumberFormat="1" applyFont="1" applyBorder="1"/>
    <xf numFmtId="10" fontId="2" fillId="0" borderId="9" xfId="1" applyNumberFormat="1" applyFont="1" applyBorder="1"/>
    <xf numFmtId="0" fontId="2" fillId="0" borderId="1" xfId="0" applyFont="1" applyBorder="1" applyAlignment="1">
      <alignment wrapText="1"/>
    </xf>
    <xf numFmtId="0" fontId="3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5" workbookViewId="0">
      <selection activeCell="J25" sqref="J25"/>
    </sheetView>
  </sheetViews>
  <sheetFormatPr defaultColWidth="9.109375" defaultRowHeight="13.8" x14ac:dyDescent="0.25"/>
  <cols>
    <col min="1" max="1" width="18.109375" style="1" bestFit="1" customWidth="1"/>
    <col min="2" max="2" width="18.109375" style="1" customWidth="1"/>
    <col min="3" max="3" width="8.44140625" style="1" bestFit="1" customWidth="1"/>
    <col min="4" max="4" width="14.6640625" style="1" bestFit="1" customWidth="1"/>
    <col min="5" max="5" width="16.109375" style="1" customWidth="1"/>
    <col min="6" max="6" width="9.109375" style="1"/>
    <col min="7" max="7" width="12" style="1" bestFit="1" customWidth="1"/>
    <col min="8" max="8" width="16.88671875" style="1" bestFit="1" customWidth="1"/>
    <col min="9" max="9" width="9.109375" style="1"/>
    <col min="10" max="10" width="13.6640625" style="1" bestFit="1" customWidth="1"/>
    <col min="11" max="11" width="9.33203125" style="1" bestFit="1" customWidth="1"/>
    <col min="12" max="16384" width="9.109375" style="1"/>
  </cols>
  <sheetData>
    <row r="1" spans="1:11" ht="14.4" thickBot="1" x14ac:dyDescent="0.3"/>
    <row r="2" spans="1:11" x14ac:dyDescent="0.25">
      <c r="B2" s="32" t="s">
        <v>24</v>
      </c>
      <c r="C2" s="33"/>
      <c r="D2" s="33"/>
      <c r="E2" s="34"/>
    </row>
    <row r="3" spans="1:11" ht="14.4" thickBot="1" x14ac:dyDescent="0.3">
      <c r="B3" s="35"/>
      <c r="C3" s="36"/>
      <c r="D3" s="36"/>
      <c r="E3" s="37"/>
    </row>
    <row r="5" spans="1:11" ht="14.4" thickBot="1" x14ac:dyDescent="0.3"/>
    <row r="6" spans="1:11" ht="14.4" thickBot="1" x14ac:dyDescent="0.3">
      <c r="A6" s="2" t="s">
        <v>22</v>
      </c>
      <c r="B6" s="3" t="s">
        <v>23</v>
      </c>
      <c r="C6" s="4"/>
      <c r="D6" s="5" t="s">
        <v>18</v>
      </c>
      <c r="E6" s="4" t="s">
        <v>0</v>
      </c>
      <c r="F6" s="4"/>
      <c r="G6" s="4"/>
      <c r="H6" s="6"/>
      <c r="J6" s="7"/>
    </row>
    <row r="7" spans="1:11" ht="14.4" thickBot="1" x14ac:dyDescent="0.3">
      <c r="A7" s="2" t="s">
        <v>1</v>
      </c>
      <c r="B7" s="3"/>
      <c r="C7" s="4" t="s">
        <v>2</v>
      </c>
      <c r="D7" s="8" t="s">
        <v>3</v>
      </c>
      <c r="E7" s="9" t="s">
        <v>4</v>
      </c>
      <c r="F7" s="9" t="s">
        <v>5</v>
      </c>
      <c r="G7" s="4" t="s">
        <v>6</v>
      </c>
      <c r="H7" s="6" t="s">
        <v>7</v>
      </c>
    </row>
    <row r="8" spans="1:11" x14ac:dyDescent="0.25">
      <c r="A8" s="10" t="s">
        <v>31</v>
      </c>
      <c r="B8" s="11">
        <f>B$21*D8</f>
        <v>233.24038375000001</v>
      </c>
      <c r="C8" s="12" t="s">
        <v>9</v>
      </c>
      <c r="D8" s="13">
        <f>36.87595/100</f>
        <v>0.36875950000000002</v>
      </c>
      <c r="E8" s="14"/>
      <c r="F8" s="14"/>
      <c r="G8" s="14"/>
      <c r="H8" s="15"/>
      <c r="I8" s="1">
        <v>256.91699999999997</v>
      </c>
    </row>
    <row r="9" spans="1:11" x14ac:dyDescent="0.25">
      <c r="A9" s="16" t="s">
        <v>8</v>
      </c>
      <c r="B9" s="11">
        <f t="shared" ref="B9:B16" si="0">B$21*D9</f>
        <v>0</v>
      </c>
      <c r="C9" s="17" t="s">
        <v>9</v>
      </c>
      <c r="D9" s="18">
        <v>0</v>
      </c>
      <c r="E9" s="19">
        <f>PRODUCT(D9,0.083)</f>
        <v>0</v>
      </c>
      <c r="F9" s="19"/>
      <c r="G9" s="19"/>
      <c r="H9" s="20"/>
      <c r="I9" s="1" t="s">
        <v>25</v>
      </c>
    </row>
    <row r="10" spans="1:11" x14ac:dyDescent="0.25">
      <c r="A10" s="16" t="s">
        <v>10</v>
      </c>
      <c r="B10" s="11">
        <f t="shared" si="0"/>
        <v>0</v>
      </c>
      <c r="C10" s="17" t="s">
        <v>9</v>
      </c>
      <c r="D10" s="18">
        <v>0</v>
      </c>
      <c r="E10" s="19">
        <f>PRODUCT(D10,0.0048)</f>
        <v>0</v>
      </c>
      <c r="F10" s="19">
        <f>PRODUCT(D10,0.001)</f>
        <v>0</v>
      </c>
      <c r="G10" s="19">
        <f>PRODUCT(D10,0.08)</f>
        <v>0</v>
      </c>
      <c r="H10" s="20"/>
      <c r="I10" s="1" t="s">
        <v>26</v>
      </c>
    </row>
    <row r="11" spans="1:11" x14ac:dyDescent="0.25">
      <c r="A11" s="16" t="s">
        <v>11</v>
      </c>
      <c r="B11" s="11">
        <f t="shared" si="0"/>
        <v>0</v>
      </c>
      <c r="C11" s="17" t="s">
        <v>9</v>
      </c>
      <c r="D11" s="18">
        <v>0</v>
      </c>
      <c r="E11" s="19"/>
      <c r="F11" s="19">
        <f>PRODUCT(D11,0.616)</f>
        <v>0</v>
      </c>
      <c r="G11" s="19"/>
      <c r="H11" s="20"/>
      <c r="I11" s="1" t="s">
        <v>27</v>
      </c>
      <c r="J11" s="21"/>
    </row>
    <row r="12" spans="1:11" x14ac:dyDescent="0.25">
      <c r="A12" s="16" t="s">
        <v>12</v>
      </c>
      <c r="B12" s="11">
        <f t="shared" si="0"/>
        <v>156.52015774999998</v>
      </c>
      <c r="C12" s="17" t="s">
        <v>9</v>
      </c>
      <c r="D12" s="18">
        <f>24.74627/100</f>
        <v>0.24746269999999998</v>
      </c>
      <c r="E12" s="19">
        <f>PRODUCT(D12,0.33)</f>
        <v>8.1662690999999996E-2</v>
      </c>
      <c r="F12" s="19">
        <f>PRODUCT(D12,0.44)</f>
        <v>0.10888358799999999</v>
      </c>
      <c r="G12" s="19"/>
      <c r="H12" s="20"/>
      <c r="I12" s="1" t="s">
        <v>28</v>
      </c>
    </row>
    <row r="13" spans="1:11" x14ac:dyDescent="0.25">
      <c r="A13" s="16" t="s">
        <v>13</v>
      </c>
      <c r="B13" s="11">
        <f t="shared" si="0"/>
        <v>3.1625000000000001</v>
      </c>
      <c r="C13" s="17" t="s">
        <v>14</v>
      </c>
      <c r="D13" s="18">
        <f>0.5/100</f>
        <v>5.0000000000000001E-3</v>
      </c>
      <c r="E13" s="19"/>
      <c r="F13" s="19"/>
      <c r="G13" s="19"/>
      <c r="H13" s="20"/>
      <c r="I13" s="1" t="s">
        <v>29</v>
      </c>
    </row>
    <row r="14" spans="1:11" x14ac:dyDescent="0.25">
      <c r="A14" s="16" t="s">
        <v>15</v>
      </c>
      <c r="B14" s="11">
        <f t="shared" si="0"/>
        <v>0.63250000000000006</v>
      </c>
      <c r="C14" s="17" t="s">
        <v>14</v>
      </c>
      <c r="D14" s="18">
        <f>0.1/100</f>
        <v>1E-3</v>
      </c>
      <c r="E14" s="19"/>
      <c r="F14" s="19"/>
      <c r="G14" s="19"/>
      <c r="H14" s="20"/>
      <c r="I14" s="1" t="s">
        <v>30</v>
      </c>
    </row>
    <row r="15" spans="1:11" ht="14.4" thickBot="1" x14ac:dyDescent="0.3">
      <c r="A15" s="22" t="s">
        <v>16</v>
      </c>
      <c r="B15" s="11">
        <f t="shared" si="0"/>
        <v>238.9444585</v>
      </c>
      <c r="C15" s="23" t="s">
        <v>9</v>
      </c>
      <c r="D15" s="24">
        <f>37.77778/100</f>
        <v>0.3777778</v>
      </c>
      <c r="E15" s="25">
        <f>PRODUCT(D15,0.46)</f>
        <v>0.17377778800000002</v>
      </c>
      <c r="F15" s="25"/>
      <c r="G15" s="25"/>
      <c r="H15" s="26"/>
      <c r="K15" s="27"/>
    </row>
    <row r="16" spans="1:11" ht="14.4" thickBot="1" x14ac:dyDescent="0.3">
      <c r="A16" s="2" t="s">
        <v>17</v>
      </c>
      <c r="B16" s="11">
        <f t="shared" si="0"/>
        <v>632.5</v>
      </c>
      <c r="C16" s="4" t="s">
        <v>9</v>
      </c>
      <c r="D16" s="28">
        <f>SUM(D8,D9,D10,D11,D12,D13,D14,D15)</f>
        <v>1</v>
      </c>
      <c r="E16" s="29">
        <f>SUM(E8,E9,E10,E11,E12,E13,E14,E15)</f>
        <v>0.255440479</v>
      </c>
      <c r="F16" s="29">
        <f>SUM(F8,F9,F10,F11,F12,F13,F14)</f>
        <v>0.10888358799999999</v>
      </c>
      <c r="G16" s="29">
        <f>SUM(G8,G9,G10,G11,G12,G13,G14)</f>
        <v>0</v>
      </c>
      <c r="H16" s="30"/>
    </row>
    <row r="20" spans="1:2" ht="27.6" x14ac:dyDescent="0.25">
      <c r="A20" s="31" t="s">
        <v>21</v>
      </c>
      <c r="B20" s="17">
        <v>550</v>
      </c>
    </row>
    <row r="21" spans="1:2" x14ac:dyDescent="0.25">
      <c r="A21" s="17" t="s">
        <v>19</v>
      </c>
      <c r="B21" s="17">
        <f>B20*B22</f>
        <v>632.5</v>
      </c>
    </row>
    <row r="22" spans="1:2" x14ac:dyDescent="0.25">
      <c r="A22" s="17" t="s">
        <v>20</v>
      </c>
      <c r="B22" s="17">
        <v>1.1499999999999999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Turfa Fertil Agro</dc:creator>
  <cp:lastModifiedBy>Orion Bonotto</cp:lastModifiedBy>
  <dcterms:created xsi:type="dcterms:W3CDTF">2020-01-08T13:16:37Z</dcterms:created>
  <dcterms:modified xsi:type="dcterms:W3CDTF">2026-04-24T13:50:33Z</dcterms:modified>
</cp:coreProperties>
</file>