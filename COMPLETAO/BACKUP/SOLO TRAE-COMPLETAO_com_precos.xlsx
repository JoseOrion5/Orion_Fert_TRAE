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T:\GitHub\Nova pasta\0.novo sabado 1737h\DO TRAE- Trabalho 31.03.26 - Copia\COMPLETAO\"/>
    </mc:Choice>
  </mc:AlternateContent>
  <xr:revisionPtr revIDLastSave="0" documentId="8_{F35746E3-AC41-4BF1-8F3E-7121EA7F782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eço Médio (modelo)" sheetId="1" r:id="rId1"/>
    <sheet name="Preços (forçado)" sheetId="2" r:id="rId2"/>
    <sheet name="Fertilizantes (Catálogo)" sheetId="3" r:id="rId3"/>
    <sheet name="Master (Tabela)" sheetId="4" r:id="rId4"/>
    <sheet name="Lógica Aditivos IN39" sheetId="5" r:id="rId5"/>
    <sheet name="Ranking Mercado BR" sheetId="6" r:id="rId6"/>
    <sheet name="Aditivos IN39 Original" sheetId="7" r:id="rId7"/>
    <sheet name="Insumos IN39 Original" sheetId="8" r:id="rId8"/>
    <sheet name="Categorias (Leitura)" sheetId="9" r:id="rId9"/>
    <sheet name="Banco de Dados" sheetId="10" r:id="rId10"/>
    <sheet name="Guia &amp; Notas" sheetId="11" r:id="rId11"/>
    <sheet name="Importação P&amp;D (claud)" sheetId="12" r:id="rId12"/>
    <sheet name="Importação P&amp;D (coop)" sheetId="13" r:id="rId13"/>
    <sheet name="TDS - Sorbitol 70%" sheetId="14" r:id="rId14"/>
    <sheet name="Dossiê - Sorbitol 70%" sheetId="15" r:id="rId15"/>
    <sheet name="Dossiê P&amp;D (Template)" sheetId="16" r:id="rId16"/>
    <sheet name="SOR70_INDICE" sheetId="17" r:id="rId17"/>
    <sheet name="SOR70_PROP_FIS" sheetId="18" r:id="rId18"/>
    <sheet name="SOR70_PROP_QUIM" sheetId="19" r:id="rId19"/>
    <sheet name="SOR70_REATOR_5000L" sheetId="20" r:id="rId20"/>
    <sheet name="SOR70_OPERACOES" sheetId="21" r:id="rId21"/>
    <sheet name="SOR70_PCC" sheetId="22" r:id="rId22"/>
    <sheet name="SOR70_COMPAT_40P" sheetId="23" r:id="rId23"/>
    <sheet name="SOR70_FORNECEDORES" sheetId="24" r:id="rId24"/>
    <sheet name="SOR70_PERGUNTAS" sheetId="25" r:id="rId25"/>
    <sheet name="SOR70_TROUBLE" sheetId="26" r:id="rId26"/>
    <sheet name="SOR70_COMPAT" sheetId="27" r:id="rId27"/>
  </sheets>
  <definedNames>
    <definedName name="_xlnm._FilterDatabase" localSheetId="0" hidden="1">'Preço Médio (modelo)'!$A$1:$E$1</definedName>
    <definedName name="_xlnm._FilterDatabase" localSheetId="1" hidden="1">'Preços (forçado)'!$A$3:$Q$3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42" i="2" l="1"/>
  <c r="K142" i="2"/>
  <c r="I142" i="2"/>
  <c r="J142" i="2" s="1"/>
  <c r="K141" i="2"/>
  <c r="L141" i="2" s="1"/>
  <c r="I141" i="2"/>
  <c r="J141" i="2" s="1"/>
  <c r="K140" i="2"/>
  <c r="L140" i="2" s="1"/>
  <c r="J140" i="2"/>
  <c r="I140" i="2"/>
  <c r="L139" i="2"/>
  <c r="K139" i="2"/>
  <c r="J139" i="2"/>
  <c r="I139" i="2"/>
  <c r="K138" i="2"/>
  <c r="L138" i="2" s="1"/>
  <c r="I138" i="2"/>
  <c r="J138" i="2" s="1"/>
  <c r="K137" i="2"/>
  <c r="L137" i="2" s="1"/>
  <c r="I137" i="2"/>
  <c r="J137" i="2" s="1"/>
  <c r="I136" i="2"/>
  <c r="K136" i="2" s="1"/>
  <c r="L136" i="2" s="1"/>
  <c r="I135" i="2"/>
  <c r="K135" i="2" s="1"/>
  <c r="L135" i="2" s="1"/>
  <c r="K134" i="2"/>
  <c r="L134" i="2" s="1"/>
  <c r="I134" i="2"/>
  <c r="J134" i="2" s="1"/>
  <c r="L133" i="2"/>
  <c r="K133" i="2"/>
  <c r="I133" i="2"/>
  <c r="J133" i="2" s="1"/>
  <c r="I132" i="2"/>
  <c r="K132" i="2" s="1"/>
  <c r="L132" i="2" s="1"/>
  <c r="I131" i="2"/>
  <c r="K131" i="2" s="1"/>
  <c r="L131" i="2" s="1"/>
  <c r="J130" i="2"/>
  <c r="I130" i="2"/>
  <c r="K130" i="2" s="1"/>
  <c r="L130" i="2" s="1"/>
  <c r="I129" i="2"/>
  <c r="K129" i="2" s="1"/>
  <c r="L129" i="2" s="1"/>
  <c r="K128" i="2"/>
  <c r="L128" i="2" s="1"/>
  <c r="I128" i="2"/>
  <c r="J128" i="2" s="1"/>
  <c r="J127" i="2"/>
  <c r="I127" i="2"/>
  <c r="K127" i="2" s="1"/>
  <c r="L127" i="2" s="1"/>
  <c r="I126" i="2"/>
  <c r="K126" i="2" s="1"/>
  <c r="L126" i="2" s="1"/>
  <c r="K125" i="2"/>
  <c r="L125" i="2" s="1"/>
  <c r="J125" i="2"/>
  <c r="I125" i="2"/>
  <c r="I124" i="2"/>
  <c r="K124" i="2" s="1"/>
  <c r="L124" i="2" s="1"/>
  <c r="I123" i="2"/>
  <c r="K123" i="2" s="1"/>
  <c r="L123" i="2" s="1"/>
  <c r="K122" i="2"/>
  <c r="L122" i="2" s="1"/>
  <c r="J122" i="2"/>
  <c r="I122" i="2"/>
  <c r="I121" i="2"/>
  <c r="K121" i="2" s="1"/>
  <c r="L121" i="2" s="1"/>
  <c r="I120" i="2"/>
  <c r="K120" i="2" s="1"/>
  <c r="L120" i="2" s="1"/>
  <c r="L119" i="2"/>
  <c r="K119" i="2"/>
  <c r="I119" i="2"/>
  <c r="J119" i="2" s="1"/>
  <c r="J118" i="2"/>
  <c r="I118" i="2"/>
  <c r="K118" i="2" s="1"/>
  <c r="L118" i="2" s="1"/>
  <c r="I117" i="2"/>
  <c r="K117" i="2" s="1"/>
  <c r="L117" i="2" s="1"/>
  <c r="L116" i="2"/>
  <c r="K116" i="2"/>
  <c r="I116" i="2"/>
  <c r="J116" i="2" s="1"/>
  <c r="L115" i="2"/>
  <c r="K115" i="2"/>
  <c r="I115" i="2"/>
  <c r="J115" i="2" s="1"/>
  <c r="I114" i="2"/>
  <c r="K114" i="2" s="1"/>
  <c r="L114" i="2" s="1"/>
  <c r="J113" i="2"/>
  <c r="I113" i="2"/>
  <c r="K113" i="2" s="1"/>
  <c r="L113" i="2" s="1"/>
  <c r="L112" i="2"/>
  <c r="K112" i="2"/>
  <c r="I112" i="2"/>
  <c r="J112" i="2" s="1"/>
  <c r="K111" i="2"/>
  <c r="L111" i="2" s="1"/>
  <c r="I111" i="2"/>
  <c r="J111" i="2" s="1"/>
  <c r="K110" i="2"/>
  <c r="L110" i="2" s="1"/>
  <c r="J110" i="2"/>
  <c r="I110" i="2"/>
  <c r="L109" i="2"/>
  <c r="K109" i="2"/>
  <c r="I109" i="2"/>
  <c r="J109" i="2" s="1"/>
  <c r="K108" i="2"/>
  <c r="L108" i="2" s="1"/>
  <c r="I108" i="2"/>
  <c r="J108" i="2" s="1"/>
  <c r="I107" i="2"/>
  <c r="K107" i="2" s="1"/>
  <c r="L107" i="2" s="1"/>
  <c r="L106" i="2"/>
  <c r="K106" i="2"/>
  <c r="I106" i="2"/>
  <c r="J106" i="2" s="1"/>
  <c r="K105" i="2"/>
  <c r="L105" i="2" s="1"/>
  <c r="I105" i="2"/>
  <c r="J105" i="2" s="1"/>
  <c r="K104" i="2"/>
  <c r="L104" i="2" s="1"/>
  <c r="J104" i="2"/>
  <c r="I104" i="2"/>
  <c r="L103" i="2"/>
  <c r="K103" i="2"/>
  <c r="J103" i="2"/>
  <c r="I103" i="2"/>
  <c r="I102" i="2"/>
  <c r="K102" i="2" s="1"/>
  <c r="L102" i="2" s="1"/>
  <c r="I101" i="2"/>
  <c r="K101" i="2" s="1"/>
  <c r="L101" i="2" s="1"/>
  <c r="L100" i="2"/>
  <c r="J100" i="2"/>
  <c r="I100" i="2"/>
  <c r="K100" i="2" s="1"/>
  <c r="I99" i="2"/>
  <c r="K99" i="2" s="1"/>
  <c r="L99" i="2" s="1"/>
  <c r="I98" i="2"/>
  <c r="K98" i="2" s="1"/>
  <c r="L98" i="2" s="1"/>
  <c r="I97" i="2"/>
  <c r="K97" i="2" s="1"/>
  <c r="L97" i="2" s="1"/>
  <c r="I96" i="2"/>
  <c r="K96" i="2" s="1"/>
  <c r="L96" i="2" s="1"/>
  <c r="K95" i="2"/>
  <c r="L95" i="2" s="1"/>
  <c r="J95" i="2"/>
  <c r="I95" i="2"/>
  <c r="L94" i="2"/>
  <c r="K94" i="2"/>
  <c r="I94" i="2"/>
  <c r="J94" i="2" s="1"/>
  <c r="I93" i="2"/>
  <c r="K93" i="2" s="1"/>
  <c r="L93" i="2" s="1"/>
  <c r="K92" i="2"/>
  <c r="L92" i="2" s="1"/>
  <c r="I92" i="2"/>
  <c r="J92" i="2" s="1"/>
  <c r="L91" i="2"/>
  <c r="K91" i="2"/>
  <c r="I91" i="2"/>
  <c r="J91" i="2" s="1"/>
  <c r="I90" i="2"/>
  <c r="K90" i="2" s="1"/>
  <c r="L90" i="2" s="1"/>
  <c r="J89" i="2"/>
  <c r="I89" i="2"/>
  <c r="K89" i="2" s="1"/>
  <c r="L89" i="2" s="1"/>
  <c r="I88" i="2"/>
  <c r="K88" i="2" s="1"/>
  <c r="L88" i="2" s="1"/>
  <c r="I87" i="2"/>
  <c r="K87" i="2" s="1"/>
  <c r="L87" i="2" s="1"/>
  <c r="I86" i="2"/>
  <c r="K86" i="2" s="1"/>
  <c r="L86" i="2" s="1"/>
  <c r="L85" i="2"/>
  <c r="K85" i="2"/>
  <c r="J85" i="2"/>
  <c r="I85" i="2"/>
  <c r="I84" i="2"/>
  <c r="K84" i="2" s="1"/>
  <c r="L84" i="2" s="1"/>
  <c r="K83" i="2"/>
  <c r="L83" i="2" s="1"/>
  <c r="J83" i="2"/>
  <c r="I83" i="2"/>
  <c r="I82" i="2"/>
  <c r="K82" i="2" s="1"/>
  <c r="L82" i="2" s="1"/>
  <c r="I81" i="2"/>
  <c r="K81" i="2" s="1"/>
  <c r="L81" i="2" s="1"/>
  <c r="I80" i="2"/>
  <c r="K80" i="2" s="1"/>
  <c r="L80" i="2" s="1"/>
  <c r="I79" i="2"/>
  <c r="K79" i="2" s="1"/>
  <c r="L79" i="2" s="1"/>
  <c r="K78" i="2"/>
  <c r="L78" i="2" s="1"/>
  <c r="I78" i="2"/>
  <c r="J78" i="2" s="1"/>
  <c r="K77" i="2"/>
  <c r="L77" i="2" s="1"/>
  <c r="I77" i="2"/>
  <c r="J77" i="2" s="1"/>
  <c r="L76" i="2"/>
  <c r="K76" i="2"/>
  <c r="I76" i="2"/>
  <c r="J76" i="2" s="1"/>
  <c r="K75" i="2"/>
  <c r="L75" i="2" s="1"/>
  <c r="I75" i="2"/>
  <c r="J75" i="2" s="1"/>
  <c r="I74" i="2"/>
  <c r="K74" i="2" s="1"/>
  <c r="L74" i="2" s="1"/>
  <c r="I73" i="2"/>
  <c r="K73" i="2" s="1"/>
  <c r="L73" i="2" s="1"/>
  <c r="I72" i="2"/>
  <c r="K72" i="2" s="1"/>
  <c r="L72" i="2" s="1"/>
  <c r="I71" i="2"/>
  <c r="J71" i="2" s="1"/>
  <c r="I70" i="2"/>
  <c r="K70" i="2" s="1"/>
  <c r="L70" i="2" s="1"/>
  <c r="I69" i="2"/>
  <c r="K69" i="2" s="1"/>
  <c r="L69" i="2" s="1"/>
  <c r="J68" i="2"/>
  <c r="I68" i="2"/>
  <c r="K68" i="2" s="1"/>
  <c r="L68" i="2" s="1"/>
  <c r="I67" i="2"/>
  <c r="K67" i="2" s="1"/>
  <c r="L67" i="2" s="1"/>
  <c r="I66" i="2"/>
  <c r="I65" i="2"/>
  <c r="K65" i="2" s="1"/>
  <c r="L65" i="2" s="1"/>
  <c r="I64" i="2"/>
  <c r="K64" i="2" s="1"/>
  <c r="L64" i="2" s="1"/>
  <c r="I63" i="2"/>
  <c r="K63" i="2" s="1"/>
  <c r="L63" i="2" s="1"/>
  <c r="I62" i="2"/>
  <c r="K62" i="2" s="1"/>
  <c r="L62" i="2" s="1"/>
  <c r="I61" i="2"/>
  <c r="K61" i="2" s="1"/>
  <c r="L61" i="2" s="1"/>
  <c r="I60" i="2"/>
  <c r="I59" i="2"/>
  <c r="K59" i="2" s="1"/>
  <c r="L59" i="2" s="1"/>
  <c r="I58" i="2"/>
  <c r="K58" i="2" s="1"/>
  <c r="L58" i="2" s="1"/>
  <c r="I57" i="2"/>
  <c r="I56" i="2"/>
  <c r="K56" i="2" s="1"/>
  <c r="L56" i="2" s="1"/>
  <c r="I55" i="2"/>
  <c r="K55" i="2" s="1"/>
  <c r="L55" i="2" s="1"/>
  <c r="I54" i="2"/>
  <c r="I53" i="2"/>
  <c r="J53" i="2" s="1"/>
  <c r="I52" i="2"/>
  <c r="K52" i="2" s="1"/>
  <c r="L52" i="2" s="1"/>
  <c r="I51" i="2"/>
  <c r="I50" i="2"/>
  <c r="J50" i="2" s="1"/>
  <c r="I49" i="2"/>
  <c r="K49" i="2" s="1"/>
  <c r="L49" i="2" s="1"/>
  <c r="I48" i="2"/>
  <c r="I47" i="2"/>
  <c r="K47" i="2" s="1"/>
  <c r="L47" i="2" s="1"/>
  <c r="I46" i="2"/>
  <c r="K46" i="2" s="1"/>
  <c r="L46" i="2" s="1"/>
  <c r="I45" i="2"/>
  <c r="I44" i="2"/>
  <c r="K44" i="2" s="1"/>
  <c r="L44" i="2" s="1"/>
  <c r="I43" i="2"/>
  <c r="K43" i="2" s="1"/>
  <c r="L43" i="2" s="1"/>
  <c r="I42" i="2"/>
  <c r="I41" i="2"/>
  <c r="K41" i="2" s="1"/>
  <c r="L41" i="2" s="1"/>
  <c r="K40" i="2"/>
  <c r="L40" i="2" s="1"/>
  <c r="J40" i="2"/>
  <c r="I40" i="2"/>
  <c r="I39" i="2"/>
  <c r="I38" i="2"/>
  <c r="K38" i="2" s="1"/>
  <c r="L38" i="2" s="1"/>
  <c r="I37" i="2"/>
  <c r="K37" i="2" s="1"/>
  <c r="L37" i="2" s="1"/>
  <c r="I36" i="2"/>
  <c r="I35" i="2"/>
  <c r="K35" i="2" s="1"/>
  <c r="L35" i="2" s="1"/>
  <c r="I34" i="2"/>
  <c r="K34" i="2" s="1"/>
  <c r="L34" i="2" s="1"/>
  <c r="I33" i="2"/>
  <c r="I32" i="2"/>
  <c r="K32" i="2" s="1"/>
  <c r="L32" i="2" s="1"/>
  <c r="I31" i="2"/>
  <c r="K31" i="2" s="1"/>
  <c r="L31" i="2" s="1"/>
  <c r="I30" i="2"/>
  <c r="I29" i="2"/>
  <c r="K29" i="2" s="1"/>
  <c r="L29" i="2" s="1"/>
  <c r="K28" i="2"/>
  <c r="L28" i="2" s="1"/>
  <c r="J28" i="2"/>
  <c r="I28" i="2"/>
  <c r="I27" i="2"/>
  <c r="I26" i="2"/>
  <c r="K26" i="2" s="1"/>
  <c r="L26" i="2" s="1"/>
  <c r="I25" i="2"/>
  <c r="K25" i="2" s="1"/>
  <c r="L25" i="2" s="1"/>
  <c r="I24" i="2"/>
  <c r="I23" i="2"/>
  <c r="K23" i="2" s="1"/>
  <c r="L23" i="2" s="1"/>
  <c r="I22" i="2"/>
  <c r="K22" i="2" s="1"/>
  <c r="L22" i="2" s="1"/>
  <c r="I21" i="2"/>
  <c r="I20" i="2"/>
  <c r="K20" i="2" s="1"/>
  <c r="L20" i="2" s="1"/>
  <c r="I19" i="2"/>
  <c r="K19" i="2" s="1"/>
  <c r="L19" i="2" s="1"/>
  <c r="I18" i="2"/>
  <c r="I17" i="2"/>
  <c r="J17" i="2" s="1"/>
  <c r="K16" i="2"/>
  <c r="L16" i="2" s="1"/>
  <c r="J16" i="2"/>
  <c r="I16" i="2"/>
  <c r="I15" i="2"/>
  <c r="I14" i="2"/>
  <c r="K14" i="2" s="1"/>
  <c r="L14" i="2" s="1"/>
  <c r="I13" i="2"/>
  <c r="K13" i="2" s="1"/>
  <c r="L13" i="2" s="1"/>
  <c r="I12" i="2"/>
  <c r="I11" i="2"/>
  <c r="K11" i="2" s="1"/>
  <c r="L11" i="2" s="1"/>
  <c r="I10" i="2"/>
  <c r="J10" i="2" s="1"/>
  <c r="I9" i="2"/>
  <c r="I8" i="2"/>
  <c r="K8" i="2" s="1"/>
  <c r="L8" i="2" s="1"/>
  <c r="K7" i="2"/>
  <c r="L7" i="2" s="1"/>
  <c r="I7" i="2"/>
  <c r="J7" i="2" s="1"/>
  <c r="I6" i="2"/>
  <c r="I5" i="2"/>
  <c r="K5" i="2" s="1"/>
  <c r="L5" i="2" s="1"/>
  <c r="K4" i="2"/>
  <c r="L4" i="2" s="1"/>
  <c r="J4" i="2"/>
  <c r="I4" i="2"/>
  <c r="J8" i="2" l="1"/>
  <c r="K53" i="2"/>
  <c r="L53" i="2" s="1"/>
  <c r="J131" i="2"/>
  <c r="K66" i="2"/>
  <c r="L66" i="2" s="1"/>
  <c r="J66" i="2"/>
  <c r="J20" i="2"/>
  <c r="J62" i="2"/>
  <c r="K71" i="2"/>
  <c r="L71" i="2" s="1"/>
  <c r="J101" i="2"/>
  <c r="J121" i="2"/>
  <c r="K12" i="2"/>
  <c r="L12" i="2" s="1"/>
  <c r="J12" i="2"/>
  <c r="J32" i="2"/>
  <c r="J44" i="2"/>
  <c r="J49" i="2"/>
  <c r="J25" i="2"/>
  <c r="K33" i="2"/>
  <c r="L33" i="2" s="1"/>
  <c r="J33" i="2"/>
  <c r="K54" i="2"/>
  <c r="L54" i="2" s="1"/>
  <c r="J54" i="2"/>
  <c r="J80" i="2"/>
  <c r="J97" i="2"/>
  <c r="J136" i="2"/>
  <c r="J5" i="2"/>
  <c r="K24" i="2"/>
  <c r="L24" i="2" s="1"/>
  <c r="J24" i="2"/>
  <c r="J79" i="2"/>
  <c r="J67" i="2"/>
  <c r="K50" i="2"/>
  <c r="L50" i="2" s="1"/>
  <c r="K21" i="2"/>
  <c r="L21" i="2" s="1"/>
  <c r="J21" i="2"/>
  <c r="J41" i="2"/>
  <c r="J22" i="2"/>
  <c r="J34" i="2"/>
  <c r="J46" i="2"/>
  <c r="J64" i="2"/>
  <c r="K6" i="2"/>
  <c r="L6" i="2" s="1"/>
  <c r="J6" i="2"/>
  <c r="K10" i="2"/>
  <c r="L10" i="2" s="1"/>
  <c r="J14" i="2"/>
  <c r="K18" i="2"/>
  <c r="L18" i="2" s="1"/>
  <c r="J18" i="2"/>
  <c r="J26" i="2"/>
  <c r="K30" i="2"/>
  <c r="L30" i="2" s="1"/>
  <c r="J30" i="2"/>
  <c r="J38" i="2"/>
  <c r="K42" i="2"/>
  <c r="L42" i="2" s="1"/>
  <c r="J42" i="2"/>
  <c r="J98" i="2"/>
  <c r="J37" i="2"/>
  <c r="K9" i="2"/>
  <c r="L9" i="2" s="1"/>
  <c r="J9" i="2"/>
  <c r="J29" i="2"/>
  <c r="J59" i="2"/>
  <c r="J73" i="2"/>
  <c r="K60" i="2"/>
  <c r="L60" i="2" s="1"/>
  <c r="J60" i="2"/>
  <c r="K36" i="2"/>
  <c r="L36" i="2" s="1"/>
  <c r="J36" i="2"/>
  <c r="J13" i="2"/>
  <c r="K17" i="2"/>
  <c r="L17" i="2" s="1"/>
  <c r="J31" i="2"/>
  <c r="J43" i="2"/>
  <c r="J47" i="2"/>
  <c r="J56" i="2"/>
  <c r="J65" i="2"/>
  <c r="J74" i="2"/>
  <c r="J82" i="2"/>
  <c r="J86" i="2"/>
  <c r="K57" i="2"/>
  <c r="L57" i="2" s="1"/>
  <c r="J57" i="2"/>
  <c r="J58" i="2"/>
  <c r="J55" i="2"/>
  <c r="K51" i="2"/>
  <c r="L51" i="2" s="1"/>
  <c r="J51" i="2"/>
  <c r="J19" i="2"/>
  <c r="J11" i="2"/>
  <c r="K15" i="2"/>
  <c r="L15" i="2" s="1"/>
  <c r="J15" i="2"/>
  <c r="J23" i="2"/>
  <c r="K27" i="2"/>
  <c r="L27" i="2" s="1"/>
  <c r="J27" i="2"/>
  <c r="J35" i="2"/>
  <c r="K39" i="2"/>
  <c r="L39" i="2" s="1"/>
  <c r="J39" i="2"/>
  <c r="J52" i="2"/>
  <c r="J61" i="2"/>
  <c r="J70" i="2"/>
  <c r="J107" i="2"/>
  <c r="J124" i="2"/>
  <c r="K48" i="2"/>
  <c r="L48" i="2" s="1"/>
  <c r="J48" i="2"/>
  <c r="J88" i="2"/>
  <c r="K45" i="2"/>
  <c r="L45" i="2" s="1"/>
  <c r="J45" i="2"/>
  <c r="J63" i="2"/>
  <c r="J69" i="2"/>
  <c r="J72" i="2"/>
  <c r="J81" i="2"/>
  <c r="J84" i="2"/>
  <c r="J87" i="2"/>
  <c r="J90" i="2"/>
  <c r="J93" i="2"/>
  <c r="J96" i="2"/>
  <c r="J99" i="2"/>
  <c r="J102" i="2"/>
  <c r="J114" i="2"/>
  <c r="J117" i="2"/>
  <c r="J120" i="2"/>
  <c r="J123" i="2"/>
  <c r="J126" i="2"/>
  <c r="J129" i="2"/>
  <c r="J132" i="2"/>
  <c r="J135" i="2"/>
</calcChain>
</file>

<file path=xl/sharedStrings.xml><?xml version="1.0" encoding="utf-8"?>
<sst xmlns="http://schemas.openxmlformats.org/spreadsheetml/2006/main" count="8528" uniqueCount="2214">
  <si>
    <t>Insumo</t>
  </si>
  <si>
    <t>Preço Médio (R$)</t>
  </si>
  <si>
    <t>Unidade</t>
  </si>
  <si>
    <t>Fonte/Fornecedor</t>
  </si>
  <si>
    <t>Moeda Original</t>
  </si>
  <si>
    <t>Câmbio USD→BRL</t>
  </si>
  <si>
    <t>Ácido Fosfórico</t>
  </si>
  <si>
    <t>L</t>
  </si>
  <si>
    <t>Estimativa mercado</t>
  </si>
  <si>
    <t>US$</t>
  </si>
  <si>
    <t>Cloreto de Potássio</t>
  </si>
  <si>
    <t>kg</t>
  </si>
  <si>
    <t>Cloreto de Cálcio</t>
  </si>
  <si>
    <t>Ácido Bórico</t>
  </si>
  <si>
    <t>Cloreto de Magnésio</t>
  </si>
  <si>
    <t>Molibdato de Amônio</t>
  </si>
  <si>
    <t>Molibdato de Sódio</t>
  </si>
  <si>
    <t>Cloreto de Zinco</t>
  </si>
  <si>
    <t>Cloreto Ferroso</t>
  </si>
  <si>
    <t>Cloreto Cúprico</t>
  </si>
  <si>
    <t>Fosfito de Potássio</t>
  </si>
  <si>
    <t>Kieserita</t>
  </si>
  <si>
    <t>Cloreto Férrico</t>
  </si>
  <si>
    <t>Fosfito de Amônio</t>
  </si>
  <si>
    <t>Molibdato de Potássio</t>
  </si>
  <si>
    <t>Fosfito de Manganês</t>
  </si>
  <si>
    <t>Fosfito de Zinco</t>
  </si>
  <si>
    <t>Fosfito de Cobalto</t>
  </si>
  <si>
    <t>Fosfito de Cálcio</t>
  </si>
  <si>
    <t>Fosfito de Ferro</t>
  </si>
  <si>
    <t>Fosfito de Níquel</t>
  </si>
  <si>
    <t>Fosfito de Cobre</t>
  </si>
  <si>
    <t>Fosfito de Magnésio</t>
  </si>
  <si>
    <t>Citrato de Potássio</t>
  </si>
  <si>
    <t>Formiato de Potássio</t>
  </si>
  <si>
    <t>Acetato de Potássio</t>
  </si>
  <si>
    <t>Formiato de Cobre</t>
  </si>
  <si>
    <t>Acetato de Zinco</t>
  </si>
  <si>
    <t>Acetato de Manganês</t>
  </si>
  <si>
    <t>Formiato de Zinco</t>
  </si>
  <si>
    <t>Formiato de Cálcio</t>
  </si>
  <si>
    <t>Formiato Cobaltoso</t>
  </si>
  <si>
    <t>Formiato de Manganês</t>
  </si>
  <si>
    <t>Formiato Ferroso</t>
  </si>
  <si>
    <t>Formiato de Magnésio</t>
  </si>
  <si>
    <t>Fosfatado Acidulado Fosfórico</t>
  </si>
  <si>
    <t>Cloreto de Cobalto</t>
  </si>
  <si>
    <t>Cloreto de Manganês</t>
  </si>
  <si>
    <t>Fosfatado Acidulado Sulfúrico</t>
  </si>
  <si>
    <t>Fosfato de Cobalto</t>
  </si>
  <si>
    <t>Cloreto de Amônio</t>
  </si>
  <si>
    <t>Bórax</t>
  </si>
  <si>
    <t>Amônia Anidra</t>
  </si>
  <si>
    <t>Borato de Zinco</t>
  </si>
  <si>
    <t>Fosfato Calcinado</t>
  </si>
  <si>
    <t>Fosfato Natural Reativo</t>
  </si>
  <si>
    <t>Fonolito</t>
  </si>
  <si>
    <t>Borra de Fosfato de Ferro e Zinco</t>
  </si>
  <si>
    <t>Farinha de Osso Calcinado</t>
  </si>
  <si>
    <t>Fosfato Natural</t>
  </si>
  <si>
    <t>Enxofre Elementar</t>
  </si>
  <si>
    <t>Enxofre Granulado</t>
  </si>
  <si>
    <t>Borra de Enxofre</t>
  </si>
  <si>
    <t>Composto Natural de Folhelho Carbonoso</t>
  </si>
  <si>
    <t>Carbonato de Potássio</t>
  </si>
  <si>
    <t>Carbonato de Zinco</t>
  </si>
  <si>
    <t>Carbonato de Cobre</t>
  </si>
  <si>
    <t>Carbonato de Cobalto</t>
  </si>
  <si>
    <t>Carbonato de Ferro</t>
  </si>
  <si>
    <t>Carbonato de Manganês</t>
  </si>
  <si>
    <t>Carbonato de Níquel</t>
  </si>
  <si>
    <t>Carbonato de Cálcio</t>
  </si>
  <si>
    <t>Carbonato de Magnésio</t>
  </si>
  <si>
    <t>Carbonato de Cálcio e Magnésio</t>
  </si>
  <si>
    <t>Hidróxido de Potássio</t>
  </si>
  <si>
    <t>Hidróxido de Cálcio</t>
  </si>
  <si>
    <t>Hidróxido de Magnésio</t>
  </si>
  <si>
    <t>Hidróxido de Cálcio e Magnésio</t>
  </si>
  <si>
    <t>Óxido de Cálcio</t>
  </si>
  <si>
    <t>Óxido de Magnésio</t>
  </si>
  <si>
    <t>Óxido de Cálcio e Magnésio</t>
  </si>
  <si>
    <t>Alquil Poliglucosídeo 50% (APG, solução)</t>
  </si>
  <si>
    <t>Estimativa Industrial</t>
  </si>
  <si>
    <t>Fluorosurfactante não-iônico (ex.: Chemours Capstone® FS-63, líquido)</t>
  </si>
  <si>
    <t>HASE 30% (espessante acrílico associativo, emulsão)</t>
  </si>
  <si>
    <t>HEUR 25% (espessante associativo poliuretano, emulsão)</t>
  </si>
  <si>
    <t>Nonoxinol-40</t>
  </si>
  <si>
    <t>Polissorbato 80 100% (Tween® 80)</t>
  </si>
  <si>
    <t>Marketplace | https://spanish.alibaba.com/g/emulsifier-polysorbate-80.html</t>
  </si>
  <si>
    <t>Surfactante Não-Iônico C9-C11 Etoxilado (9EO)</t>
  </si>
  <si>
    <t>Trisiloxano Etoxilado 100% (superespalhante, ex.: Silwet™ L-77)</t>
  </si>
  <si>
    <t>Carboximetilcelulose Na</t>
  </si>
  <si>
    <t>Copolímero Acrilato-Maleato</t>
  </si>
  <si>
    <t>Copolímero Acrílico/AMPS 45% (sulfonado, solução)</t>
  </si>
  <si>
    <t>EO/PO Block Copolymer 100% (Pluronic® F127 / Poloxamer 407)</t>
  </si>
  <si>
    <t>Glicerina 99,5% (Glicerol)</t>
  </si>
  <si>
    <t>Glicerina 99.7%</t>
  </si>
  <si>
    <t>HP-β-Ciclodextrina 99% (ex.: Kleptose® HPB, pó)</t>
  </si>
  <si>
    <t>Hexametafosfato de Sódio</t>
  </si>
  <si>
    <t>Hiperdispersante polimérico (ex.: BYK Disperbyk®-190, solução)</t>
  </si>
  <si>
    <t>Kolliphor® HS 15 (PEG-15 Hidroxiestearato, líquido/pasta)</t>
  </si>
  <si>
    <t>Octilfenil Polioxietileno</t>
  </si>
  <si>
    <t>PCE 40% (Policarboxilato éter tipo 'comb polymer', solução)</t>
  </si>
  <si>
    <t>PVP K30 (Polivinilpirrolidona, pó)</t>
  </si>
  <si>
    <t>Poliacrilato de Sódio 45%</t>
  </si>
  <si>
    <t>Marketplace | https://indonesian.alibaba.com/g/sodium-polyacrylate-dispersant.html</t>
  </si>
  <si>
    <t>Polioxietileno 20.000</t>
  </si>
  <si>
    <t>Polivinilpirrolidona 30% (PVP K30)</t>
  </si>
  <si>
    <t>Polivinilpirrolidona K90</t>
  </si>
  <si>
    <t>Soluplus® (BASF, copolímero PEG-PVAc-PVP, sólido)</t>
  </si>
  <si>
    <t>Sorbitol 70%</t>
  </si>
  <si>
    <t>Marketplace | https://www.alibaba.com/showroom/sorbitol-solution-price-suppliers.html</t>
  </si>
  <si>
    <t>Sulfobutil Éter β-Ciclodextrina (Captisol®, pó)</t>
  </si>
  <si>
    <t>Ácido Fosfônico HEDP</t>
  </si>
  <si>
    <t>Marketplace | https://m.made-in-china.com/hot-china-products/Hedp_60.html</t>
  </si>
  <si>
    <t>ATMP 50% (Aminotris(metileno)fosfônico, solução)</t>
  </si>
  <si>
    <t>Marketplace | https://www.alibaba.com/showroom/price-of-atmp.html</t>
  </si>
  <si>
    <t>Copolímero Acrílico/Maleico 50% (sal sódico, solução)</t>
  </si>
  <si>
    <t>DTPMP 50% (fosfonato, solução)</t>
  </si>
  <si>
    <t>Marketplace | https://sa.made-in-china.com/co_sinobiochemistry/product_Diethylenetriaminepenta-methylene-phosphonic-acid-DTPMPA-50-CAS-15827-60-8-for-for-Circulating-Water-System_ysyusenggy.html</t>
  </si>
  <si>
    <t>HBED-Fe 4.5%</t>
  </si>
  <si>
    <t>PASP 40% (Ácido Poliaspártico, solução)</t>
  </si>
  <si>
    <t>PBTC 50% (Ácido 2-fosfonobutanotricarboxílico, solução)</t>
  </si>
  <si>
    <t>PESA 40% (Ácido Poliepoxissuccínico, solução)</t>
  </si>
  <si>
    <t>PMA 40% (Ácido Polimaleico, solução)</t>
  </si>
  <si>
    <t>Poliacrilato de Sódio LMW 45% (solução aquosa)</t>
  </si>
  <si>
    <t>1,2-Propanodiol (Propilenoglicol USP)</t>
  </si>
  <si>
    <t>Carbonato de Propileno 99% (Propylene Carbonate)</t>
  </si>
  <si>
    <t>DES: Cloreto de Colina : Glicerol (1:2) — 'Glyceline' (líquido)</t>
  </si>
  <si>
    <t>DES: Cloreto de Colina : Ureia (1:2) — 'Reline' (líquido)</t>
  </si>
  <si>
    <t>DMSO 99,9% (Dimetilsulfóxido)</t>
  </si>
  <si>
    <t>Dipropilenoglicol metil éter</t>
  </si>
  <si>
    <t>Líquido iônico: 1-etil-3-metilimidazólio acetato (EMIM OAc)</t>
  </si>
  <si>
    <t>N-Metilpirrolidona</t>
  </si>
  <si>
    <t>N-metil-2-pirrolidona 99% (NMP)</t>
  </si>
  <si>
    <t>PEG-400 100% (Polietilenoglicol, líquido)</t>
  </si>
  <si>
    <t>Polietilenoglicol 8000</t>
  </si>
  <si>
    <t>Poliéter Aminas (Jeffamine D-230)</t>
  </si>
  <si>
    <t>Polióis de Polietileno Glicol 6000 (PEG-6000)</t>
  </si>
  <si>
    <t>Álcool Benzílico</t>
  </si>
  <si>
    <t>γ-Butirolactona 99% (GBL)</t>
  </si>
  <si>
    <t>DTPA Pentassódico 40% (Na5DTPA, solução)</t>
  </si>
  <si>
    <t>Marketplace | https://www.echemi.com/produce/pr2302272305-diethylenetriaminepentaacetic-acid-pentasodium-salt40.html</t>
  </si>
  <si>
    <t>DTPA-5Na (Pentasódico)</t>
  </si>
  <si>
    <t>EDDHA 98% (quelante fenólico, pó)</t>
  </si>
  <si>
    <t>EDDHA-Fe 6% (Sequestrene 138)</t>
  </si>
  <si>
    <t>EDDS-3Na (Trisódico)</t>
  </si>
  <si>
    <t>EDTA Tetrasódico 39% (Na4EDTA, solução aquosa)</t>
  </si>
  <si>
    <t>Marketplace | https://m.made-in-china.com/amp/product/EDTA-4na-CAS-64-02-8-67401-50-7-13254-36-4-13235-36-4-2008192382.html</t>
  </si>
  <si>
    <t>GLDA Tetrassódico 47% (solução aquosa)</t>
  </si>
  <si>
    <t>Marketplace | https://www.alibaba.com/showroom/glda.html</t>
  </si>
  <si>
    <t>Gluconato de Sódio</t>
  </si>
  <si>
    <t>HBED 98% (quelante, pó)</t>
  </si>
  <si>
    <t>MGDA Trissódico 40% (solução aquosa)</t>
  </si>
  <si>
    <t>Ácido Cítrico Anidro</t>
  </si>
  <si>
    <t>Ácido Etilenodiamino-N,N'-bis(2-hidroxifenilacético) (EDDHA)</t>
  </si>
  <si>
    <t>Ácido N,N-Bis(2-hidroxibenzil)etilenodiamino-N,N-diacético (HBED)</t>
  </si>
  <si>
    <t>Ácido Nitrilotriacético (NTA)</t>
  </si>
  <si>
    <t>Sorbitol 70% Líquido (solução aquosa)</t>
  </si>
  <si>
    <t>PREÇOS — PÚBLICO + MARKETPLACE + ESTIMATIVA (UM VALOR PARA CADA ITEM)</t>
  </si>
  <si>
    <t>Edite este valor</t>
  </si>
  <si>
    <t>Tipo</t>
  </si>
  <si>
    <t>Item</t>
  </si>
  <si>
    <t>Embalagem (padrão)</t>
  </si>
  <si>
    <t>Qtd por embalagem</t>
  </si>
  <si>
    <t>Preço público USD/kg</t>
  </si>
  <si>
    <t>Preço marketplace USD/kg</t>
  </si>
  <si>
    <t>Preço estimado USD/kg</t>
  </si>
  <si>
    <t>Preço usado USD/kg</t>
  </si>
  <si>
    <t>Preço usado BRL/kg</t>
  </si>
  <si>
    <t>Preço usado USD/emb.</t>
  </si>
  <si>
    <t>Preço usado BRL/emb.</t>
  </si>
  <si>
    <t>Janela (12m)</t>
  </si>
  <si>
    <t>Fonte/URL (público)</t>
  </si>
  <si>
    <t>Fonte/URL (marketplace)</t>
  </si>
  <si>
    <t>Método</t>
  </si>
  <si>
    <t>Observações</t>
  </si>
  <si>
    <t>IBC 1000 L</t>
  </si>
  <si>
    <t>estimativa</t>
  </si>
  <si>
    <t>Estimativa bulk — fosfatados. | Unidade em L: sem densidade não dá para converter com precisão USD/kg→USD/L. Preço por embalagem ficou em branco.</t>
  </si>
  <si>
    <t>Saco 25 kg</t>
  </si>
  <si>
    <t>Estimativa bulk — KCl.</t>
  </si>
  <si>
    <t>Estimativa bulk genérica — insumo.</t>
  </si>
  <si>
    <t>Estimativa bulk genérica — insumo. | Unidade em L: sem densidade não dá para converter com precisão USD/kg→USD/L. Preço por embalagem ficou em branco.</t>
  </si>
  <si>
    <t>Estimativa — micronutrientes (alto custo por kg).</t>
  </si>
  <si>
    <t>Estimativa bulk — fosfatados.</t>
  </si>
  <si>
    <t>Estimativa — fontes de boro.</t>
  </si>
  <si>
    <t>Aditivo</t>
  </si>
  <si>
    <t>Tambor 200 L</t>
  </si>
  <si>
    <t>Estimativa — surfactantes. | Unidade em L: sem densidade não dá para converter com precisão USD/kg→USD/L. Preço por embalagem ficou em branco.</t>
  </si>
  <si>
    <t>Estimativa — fluorosurfactantes. | Unidade em L: sem densidade não dá para converter com precisão USD/kg→USD/L. Preço por embalagem ficou em branco.</t>
  </si>
  <si>
    <t>Estimativa genérica — aditivo.</t>
  </si>
  <si>
    <t>https://spanish.alibaba.com/g/emulsifier-polysorbate-80.html</t>
  </si>
  <si>
    <t>marketplace</t>
  </si>
  <si>
    <t>Marketplace (Alibaba) — faixa US$ 0.90–1.70/kg | Estimativa — surfactantes.</t>
  </si>
  <si>
    <t>Estimativa — surfactantes.</t>
  </si>
  <si>
    <t>Estimativa — polímeros.</t>
  </si>
  <si>
    <t>Estimativa — polímeros. | Unidade em L: sem densidade não dá para converter com precisão USD/kg→USD/L. Preço por embalagem ficou em branco.</t>
  </si>
  <si>
    <t>Estimativa — polióis/umectantes.</t>
  </si>
  <si>
    <t>Estimativa — ciclodextrinas.</t>
  </si>
  <si>
    <t>Estimativa — polióis/umectantes. | Unidade em L: sem densidade não dá para converter com precisão USD/kg→USD/L. Preço por embalagem ficou em branco.</t>
  </si>
  <si>
    <t>https://indonesian.alibaba.com/g/sodium-polyacrylate-dispersant.html</t>
  </si>
  <si>
    <t>Marketplace (Alibaba) — faixa US$ 0.68–1.68/kg | Estimativa — polímeros.</t>
  </si>
  <si>
    <t>https://www.alibaba.com/showroom/sorbitol-solution-price-suppliers.html</t>
  </si>
  <si>
    <t>Marketplace (Alibaba) — faixa US$ 0.90–1.80/kg (ref. solução 70%) | Estimativa — polióis/umectantes.</t>
  </si>
  <si>
    <t>https://m.made-in-china.com/hot-china-products/Hedp_60.html</t>
  </si>
  <si>
    <t>Marketplace (Made-in-China) — faixa US$ 650–750/ton (~0.65–0.75/kg) | Estimativa — fosfonatos. | Unidade em L: sem densidade não dá para converter com precisão USD/kg→USD/L. Preço por embalagem ficou em branco.</t>
  </si>
  <si>
    <t>https://www.alibaba.com/showroom/price-of-atmp.html</t>
  </si>
  <si>
    <t>Marketplace (Alibaba) — faixa US$ 1.00–1.60/kg | Estimativa — fosfonatos. | Unidade em L: sem densidade não dá para converter com precisão USD/kg→USD/L. Preço por embalagem ficou em branco.</t>
  </si>
  <si>
    <t>https://sa.made-in-china.com/co_sinobiochemistry/product_Diethylenetriaminepenta-methylene-phosphonic-acid-DTPMPA-50-CAS-15827-60-8-for-for-Circulating-Water-System_ysyusenggy.html</t>
  </si>
  <si>
    <t>Marketplace (Made-in-China) — faixa US$ 0.70–2.00/kg | Estimativa — fosfonatos. | Unidade em L: sem densidade não dá para converter com precisão USD/kg→USD/L. Preço por embalagem ficou em branco.</t>
  </si>
  <si>
    <t>Estimativa — quelantes.</t>
  </si>
  <si>
    <t>Estimativa — fosfonatos. | Unidade em L: sem densidade não dá para converter com precisão USD/kg→USD/L. Preço por embalagem ficou em branco.</t>
  </si>
  <si>
    <t>Marketplace (Alibaba) — faixa US$ 0.68–1.68/kg | Estimativa — polímeros. | Unidade em L: sem densidade não dá para converter com precisão USD/kg→USD/L. Preço por embalagem ficou em branco.</t>
  </si>
  <si>
    <t>Estimativa — DES/líquidos iônicos. | Unidade em L: sem densidade não dá para converter com precisão USD/kg→USD/L. Preço por embalagem ficou em branco.</t>
  </si>
  <si>
    <t>Estimativa — solventes especiais.</t>
  </si>
  <si>
    <t>https://www.echemi.com/produce/pr2302272305-diethylenetriaminepentaacetic-acid-pentasodium-salt40.html</t>
  </si>
  <si>
    <t>Marketplace (eChemi) — preço listado ~US$ 1.2/kg | Estimativa — quelantes. | Unidade em L: sem densidade não dá para converter com precisão USD/kg→USD/L. Preço por embalagem ficou em branco.</t>
  </si>
  <si>
    <t>Marketplace (eChemi) — preço listado ~US$ 1.2/kg | Estimativa — quelantes.</t>
  </si>
  <si>
    <t>https://m.made-in-china.com/amp/product/EDTA-4na-CAS-64-02-8-67401-50-7-13254-36-4-13235-36-4-2008192382.html</t>
  </si>
  <si>
    <t>Marketplace (Made-in-China) — faixa US$ 1.10–4.10/kg | Estimativa — quelantes. | Unidade em L: sem densidade não dá para converter com precisão USD/kg→USD/L. Preço por embalagem ficou em branco.</t>
  </si>
  <si>
    <t>https://www.alibaba.com/showroom/glda.html</t>
  </si>
  <si>
    <t>Marketplace (Alibaba) — faixa US$ 4–25/kg | Estimativa — quelantes. | Unidade em L: sem densidade não dá para converter com precisão USD/kg→USD/L. Preço por embalagem ficou em branco.</t>
  </si>
  <si>
    <t>Estimativa — quelantes. | Unidade em L: sem densidade não dá para converter com precisão USD/kg→USD/L. Preço por embalagem ficou em branco.</t>
  </si>
  <si>
    <t>Estimativa genérica — aditivo. | Unidade em L: sem densidade não dá para converter com precisão USD/kg→USD/L. Preço por embalagem ficou em branco.</t>
  </si>
  <si>
    <t>Marketplace (Alibaba) — faixa US$ 0.90–1.80/kg (ref. solução 70%) | Estimativa — polióis/umectantes. | Unidade em L: sem densidade não dá para converter com precisão USD/kg→USD/L. Preço por embalagem ficou em branco.</t>
  </si>
  <si>
    <t>id</t>
  </si>
  <si>
    <t>nome</t>
  </si>
  <si>
    <t>formula_quimica</t>
  </si>
  <si>
    <t>nutriente</t>
  </si>
  <si>
    <t>teor_minimo_pct</t>
  </si>
  <si>
    <t>unidade</t>
  </si>
  <si>
    <t>solubilidade</t>
  </si>
  <si>
    <t>natureza_fisica</t>
  </si>
  <si>
    <t>observacoes</t>
  </si>
  <si>
    <t>classe_oxido_acetato</t>
  </si>
  <si>
    <t>somente_oxido_ou_acetato</t>
  </si>
  <si>
    <t>rank_solubilidade</t>
  </si>
  <si>
    <t>preco_medio_br</t>
  </si>
  <si>
    <t>unidade_preco</t>
  </si>
  <si>
    <t>fonte_preco</t>
  </si>
  <si>
    <t>rank_custo</t>
  </si>
  <si>
    <t>Nitrato de Cobre</t>
  </si>
  <si>
    <t>Cu(NO3)2.3H2O</t>
  </si>
  <si>
    <t>Cu / N</t>
  </si>
  <si>
    <t>%</t>
  </si>
  <si>
    <t>Cobre solúvel em água</t>
  </si>
  <si>
    <t>Sólido</t>
  </si>
  <si>
    <t>Sulfato de Cobre</t>
  </si>
  <si>
    <t>CuSO4.H2O</t>
  </si>
  <si>
    <t>Cu / S</t>
  </si>
  <si>
    <t>Fosfato Ferroso Amoniacal</t>
  </si>
  <si>
    <t>Fe(NH4)PO4.H2O</t>
  </si>
  <si>
    <t>Fe / P2O5 / N</t>
  </si>
  <si>
    <t>Fe solúvel em água; P2O5 solúvel em CNA+água</t>
  </si>
  <si>
    <t>Sulfato Ferroso</t>
  </si>
  <si>
    <t>FeSO4.xH2O</t>
  </si>
  <si>
    <t>Fe / S</t>
  </si>
  <si>
    <t>Ferro solúvel em água (forma sulfato)</t>
  </si>
  <si>
    <t>Sulfato de Potássio Cálcio e Magnésio</t>
  </si>
  <si>
    <t>K2SO4.MgSO4.2CaSO4.2H2O</t>
  </si>
  <si>
    <t>K2O / Ca / Mg / S</t>
  </si>
  <si>
    <t>K solúvel em água; Ca/Mg/S teores totais</t>
  </si>
  <si>
    <t>Mineral natural Polihalita</t>
  </si>
  <si>
    <t>MgSO4.H2O</t>
  </si>
  <si>
    <t>Mg / S</t>
  </si>
  <si>
    <t>Magnésio solúvel em água</t>
  </si>
  <si>
    <t>Nitrato de Magnésio</t>
  </si>
  <si>
    <t>Mg(NO3)2.6H2O</t>
  </si>
  <si>
    <t>Mg / N</t>
  </si>
  <si>
    <t>Sulfato de Magnésio</t>
  </si>
  <si>
    <t>Nitrato de Manganês</t>
  </si>
  <si>
    <t>Mn(NO3)2.nH2O</t>
  </si>
  <si>
    <t>Mn / N</t>
  </si>
  <si>
    <t>Manganês solúvel em água</t>
  </si>
  <si>
    <t>Sulfato de Manganês</t>
  </si>
  <si>
    <t>MnSO4.H2O</t>
  </si>
  <si>
    <t>Mn / S</t>
  </si>
  <si>
    <t>Uréia-Superfosfato</t>
  </si>
  <si>
    <t>(NH2)2CO.H3PO4</t>
  </si>
  <si>
    <t>N / P2O5</t>
  </si>
  <si>
    <t>N na forma amídica; P2O5 solúvel em água</t>
  </si>
  <si>
    <t>Fosfato Diamônico (DAP)</t>
  </si>
  <si>
    <t>N total; P2O5 solúvel em CNA+água; mínimo 38% solúvel em água</t>
  </si>
  <si>
    <t>N na forma amoniacal</t>
  </si>
  <si>
    <t>Fosfato Monoamônico (MAP)</t>
  </si>
  <si>
    <t>N total; P2O5 solúvel em CNA+água; mínimo 44% solúvel em água</t>
  </si>
  <si>
    <t>Nitrofosfato</t>
  </si>
  <si>
    <t>N / P2O5 / Ca</t>
  </si>
  <si>
    <t>P2O5 solúvel em CNA+água; mínimo 14% P2O5 solúvel em água; N e Ca totais</t>
  </si>
  <si>
    <t>N na forma nítrica</t>
  </si>
  <si>
    <t>Superfosfato Duplo</t>
  </si>
  <si>
    <t>P2O5 / Ca / S</t>
  </si>
  <si>
    <t>P2O5 solúvel em CNA+água; mínimo 24% solúvel em água; Ca e S totais</t>
  </si>
  <si>
    <t>Superfosfato Triplo</t>
  </si>
  <si>
    <t>P2O5 / Ca</t>
  </si>
  <si>
    <t>P2O5 solúvel em CNA+água; mínimo 36% solúvel em água; Ca total</t>
  </si>
  <si>
    <t>P2O5 solúvel em CNA+água; mínimo 60% solúvel em água</t>
  </si>
  <si>
    <t>Multifosfato Magnesiano</t>
  </si>
  <si>
    <t>P2O5 / Ca / Mg / S</t>
  </si>
  <si>
    <t>P2O5 solúvel em CNA+água; mínimo 8% solúvel em água; Ca/Mg/S totais</t>
  </si>
  <si>
    <t>Granulometria: mínimo 90% &lt; 2.8mm; máximo 35% &lt; 0.5mm</t>
  </si>
  <si>
    <t>Termo-Superfosfato</t>
  </si>
  <si>
    <t>P2O5 / Ca / S / Mg / Si</t>
  </si>
  <si>
    <t>P2O5 total; mínimo 16% solúvel em ác. cítrico 2% (1:100); mínimo 5% solúvel em água; Ca/S/Mg/Si totais</t>
  </si>
  <si>
    <t>Fosfato Parcialmente Acidulado</t>
  </si>
  <si>
    <t>P2O5 total; mínimo 9% solúvel em CNA+água; mínimo 5% solúvel em água</t>
  </si>
  <si>
    <t>Pode conter até 6% S e até 2% Mg</t>
  </si>
  <si>
    <t>Sulfato de Potássio</t>
  </si>
  <si>
    <t>K2SO4.H2O</t>
  </si>
  <si>
    <t>K2O / S</t>
  </si>
  <si>
    <t>Potássio solúvel em água</t>
  </si>
  <si>
    <t>De 0 a 1.2% de Mg</t>
  </si>
  <si>
    <t>Acetato de Amônio</t>
  </si>
  <si>
    <t>CH3COONH4</t>
  </si>
  <si>
    <t>N</t>
  </si>
  <si>
    <t>Solúvel em água</t>
  </si>
  <si>
    <t>Fluido</t>
  </si>
  <si>
    <t>acetato</t>
  </si>
  <si>
    <t>Acetato de Cobalto</t>
  </si>
  <si>
    <t>Co(C2H3O2)2.4H2O</t>
  </si>
  <si>
    <t>Co</t>
  </si>
  <si>
    <t>Acetato de Cobre</t>
  </si>
  <si>
    <t>Cu(C2H3O2)2.2H2O</t>
  </si>
  <si>
    <t>Cu</t>
  </si>
  <si>
    <t>Acetato de Cálcio</t>
  </si>
  <si>
    <t>Ca(C2H3O2)2.H2O</t>
  </si>
  <si>
    <t>Ca</t>
  </si>
  <si>
    <t>Acetato de Magnésio</t>
  </si>
  <si>
    <t>Mg(C2H3O2)2</t>
  </si>
  <si>
    <t>Mg</t>
  </si>
  <si>
    <t>Mn(C2H3O2)2</t>
  </si>
  <si>
    <t>Mn</t>
  </si>
  <si>
    <t>KC2H3O2</t>
  </si>
  <si>
    <t>K2O</t>
  </si>
  <si>
    <t>Zn(C2H3O2)2</t>
  </si>
  <si>
    <t>Zn</t>
  </si>
  <si>
    <t>Borato de Monoetanolamina</t>
  </si>
  <si>
    <t>B</t>
  </si>
  <si>
    <t>K2CO3</t>
  </si>
  <si>
    <t>K2C6H5O7.H2O</t>
  </si>
  <si>
    <t>CuCl2.6H2O</t>
  </si>
  <si>
    <t>Mínimo 23% de Cloro (Cl)</t>
  </si>
  <si>
    <t>FeCl2.4H2O</t>
  </si>
  <si>
    <t>Fe</t>
  </si>
  <si>
    <t>Mínimo 30% de Cloro (Cl)</t>
  </si>
  <si>
    <t>FeCl3.6H2O</t>
  </si>
  <si>
    <t>CoCl2.2H2O</t>
  </si>
  <si>
    <t>Mínimo 40% de Cloro (Cl)</t>
  </si>
  <si>
    <t>CaCl2.2H2O</t>
  </si>
  <si>
    <t>Mínimo 43% de Cloro (Cl)</t>
  </si>
  <si>
    <t>MgCl2.6H2O</t>
  </si>
  <si>
    <t>Mínimo 26% de Cloro (Cl)</t>
  </si>
  <si>
    <t>MnCl2.4H2O</t>
  </si>
  <si>
    <t>Mínimo 32% de Cloro (Cl)</t>
  </si>
  <si>
    <t>KCl</t>
  </si>
  <si>
    <t>Mínimo 39% de Cloro (Cl)</t>
  </si>
  <si>
    <t>ZnCl2</t>
  </si>
  <si>
    <t>Co(HCO2)2</t>
  </si>
  <si>
    <t>Fe(HCO2)2.2H2O</t>
  </si>
  <si>
    <t>Cu.HCO2</t>
  </si>
  <si>
    <t>Ca(HCO2)2</t>
  </si>
  <si>
    <t>Mg(HCO2)2</t>
  </si>
  <si>
    <t>Mn(HCO2)2</t>
  </si>
  <si>
    <t>KHCO2</t>
  </si>
  <si>
    <t>Zn(HCO2)2</t>
  </si>
  <si>
    <t>Fosfato Diamônico Cristal (DAP Cristal)</t>
  </si>
  <si>
    <t>Fosfato Monoamônico Cristal (MAP Cristal)</t>
  </si>
  <si>
    <t>Fosfato Monopotássico</t>
  </si>
  <si>
    <t>KH2PO4</t>
  </si>
  <si>
    <t>P2O5 / K2O</t>
  </si>
  <si>
    <t>Fosfato Tripotássio</t>
  </si>
  <si>
    <t>K3PO4</t>
  </si>
  <si>
    <t>Mínimo 26% P2O5 do ác. fosforoso; máximo 2% Na residual</t>
  </si>
  <si>
    <t>Mínimo 16% P2O5 do ác. fosforoso; máximo 2% Na residual</t>
  </si>
  <si>
    <t>Mínimo 7% P2O5 do ác. fosforoso; máximo 2% Na residual</t>
  </si>
  <si>
    <t>Mínimo 28% P2O5 do ác. fosforoso; máximo 2% Na residual</t>
  </si>
  <si>
    <t>Mínimo 9% P2O5 do ác. fosforoso; máximo 2% Na residual</t>
  </si>
  <si>
    <t>MnHPO3.nH2O</t>
  </si>
  <si>
    <t>Ni</t>
  </si>
  <si>
    <t>Mínimo 27% P2O5 do ác. fosforoso; máximo 2% Na residual</t>
  </si>
  <si>
    <t>Mínimo 38% P2O5 do ác. fosforoso; máximo 2% Na residual</t>
  </si>
  <si>
    <t>KOH</t>
  </si>
  <si>
    <t>oxido</t>
  </si>
  <si>
    <t>(NH4)6Mo7O24.2H2O</t>
  </si>
  <si>
    <t>Mo / N</t>
  </si>
  <si>
    <t>N na forma total</t>
  </si>
  <si>
    <t>Molibdato de Monoetanolamina</t>
  </si>
  <si>
    <t>Mo</t>
  </si>
  <si>
    <t>K2MoO4.5H2O</t>
  </si>
  <si>
    <t>Mo / K2O</t>
  </si>
  <si>
    <t>Máximo 0.5% Cloro residual</t>
  </si>
  <si>
    <t>Na2MoO4.2H2O</t>
  </si>
  <si>
    <t>Nitrato Duplo de Sódio e Potássio</t>
  </si>
  <si>
    <t>N / K2O</t>
  </si>
  <si>
    <t>Nitrato Férrico</t>
  </si>
  <si>
    <t>Fe(NO3)3.9H2O</t>
  </si>
  <si>
    <t>Fe / N</t>
  </si>
  <si>
    <t>Nitrato de Cobalto</t>
  </si>
  <si>
    <t>Co(NO3)2.6H2O</t>
  </si>
  <si>
    <t>Co / N</t>
  </si>
  <si>
    <t>Nitrato de Potássio</t>
  </si>
  <si>
    <t>K2O / N</t>
  </si>
  <si>
    <t>Nitrato de Sódio</t>
  </si>
  <si>
    <t>N na forma nítrica; máximo 1% perclorato de sódio</t>
  </si>
  <si>
    <t>Nitrato de Zinco</t>
  </si>
  <si>
    <t>Zn(NO3)2.6H2O</t>
  </si>
  <si>
    <t>Zn / N</t>
  </si>
  <si>
    <t>Octaborato de Potássio</t>
  </si>
  <si>
    <t>K2B8013.nH2O</t>
  </si>
  <si>
    <t>B / K2O</t>
  </si>
  <si>
    <t>Octaborato de Sódio</t>
  </si>
  <si>
    <t>Na2B8013.4H2O</t>
  </si>
  <si>
    <t>Polifosfato de Amônio</t>
  </si>
  <si>
    <t>Quelato de Boro</t>
  </si>
  <si>
    <t>Agente quelante conforme Anexo II da IN 39/2018</t>
  </si>
  <si>
    <t>Quelato de Cobalto</t>
  </si>
  <si>
    <t>Quelato de Cobre</t>
  </si>
  <si>
    <t>Quelato de Cálcio</t>
  </si>
  <si>
    <t>Quelato de Ferro</t>
  </si>
  <si>
    <t>Quelato de Magnésio</t>
  </si>
  <si>
    <t>Quelato de Manganês</t>
  </si>
  <si>
    <t>Quelato de Molibdênio</t>
  </si>
  <si>
    <t>Quelato de Níquel</t>
  </si>
  <si>
    <t>Quelato de Zinco</t>
  </si>
  <si>
    <t>Selenato de Sódio</t>
  </si>
  <si>
    <t>Na2SeO4</t>
  </si>
  <si>
    <t>Se</t>
  </si>
  <si>
    <t>Silicato de Potássio</t>
  </si>
  <si>
    <t>K2SiO3</t>
  </si>
  <si>
    <t>K2O / Si</t>
  </si>
  <si>
    <t>Fluido (Solução)</t>
  </si>
  <si>
    <t>Sulfato Férrico</t>
  </si>
  <si>
    <t>Fe2(SO4)3.4H2O</t>
  </si>
  <si>
    <t>Sulfato de Cobalto</t>
  </si>
  <si>
    <t>CoSO4.xH2O</t>
  </si>
  <si>
    <t>Co / S</t>
  </si>
  <si>
    <t>Sulfato de Níquel</t>
  </si>
  <si>
    <t>NiSO4.6H2O</t>
  </si>
  <si>
    <t>Ni / S</t>
  </si>
  <si>
    <t>Sulfato de Zinco</t>
  </si>
  <si>
    <t>ZnSO4.xH2O</t>
  </si>
  <si>
    <t>Zn / S</t>
  </si>
  <si>
    <t>Tetrapotássio Difosfato</t>
  </si>
  <si>
    <t>K4P2O7</t>
  </si>
  <si>
    <t>K2O / P2O5</t>
  </si>
  <si>
    <t>Tiossulfato de Amônio</t>
  </si>
  <si>
    <t>(NH4)2S2O3</t>
  </si>
  <si>
    <t>N / S</t>
  </si>
  <si>
    <t>Tiossulfato de Cálcio</t>
  </si>
  <si>
    <t>CaS2O3</t>
  </si>
  <si>
    <t>Ca / S</t>
  </si>
  <si>
    <t>Tiossulfato de Potássio</t>
  </si>
  <si>
    <t>K2S2O3</t>
  </si>
  <si>
    <t>H3BO3</t>
  </si>
  <si>
    <t>H3PO4</t>
  </si>
  <si>
    <t>P2O5</t>
  </si>
  <si>
    <t>Co3(PO4)2</t>
  </si>
  <si>
    <t>Co / P2O5</t>
  </si>
  <si>
    <t>Co teor total; P2O5 solúvel em CNA+água</t>
  </si>
  <si>
    <t>K2O total; mínimo 1% solúvel em ác. cítrico 2% (1:100); Si total</t>
  </si>
  <si>
    <t>Sólido (Pó)</t>
  </si>
  <si>
    <t>Granulometria: mínimo 80% passante em 0.075mm (ABNT 200)</t>
  </si>
  <si>
    <t>Fosfato Cúprico Amoniacal</t>
  </si>
  <si>
    <t>CuNH4PO4.H2O</t>
  </si>
  <si>
    <t>Cu / P2O5 / N</t>
  </si>
  <si>
    <t>N e Cu teores totais; P2O5 solúvel em CNA+água</t>
  </si>
  <si>
    <t>Fosfossulfato de Amônio</t>
  </si>
  <si>
    <t>N / P2O5 / S</t>
  </si>
  <si>
    <t>P2O5 solúvel em CNA+água</t>
  </si>
  <si>
    <t>Superfosfato Triplo Amoniado</t>
  </si>
  <si>
    <t>P2O5 solúvel em CNA+água; N e Ca totais</t>
  </si>
  <si>
    <t>N na forma amoniacal; soma N+P2O5 mínimo 41%</t>
  </si>
  <si>
    <t>Superfosfato Simples Amoniado</t>
  </si>
  <si>
    <t>N / P2O5 / Ca / S</t>
  </si>
  <si>
    <t>P2O5 solúvel em CNA+água; N/Ca/S totais</t>
  </si>
  <si>
    <t>N na forma amoniacal; soma N+P2O5 mínimo 18%</t>
  </si>
  <si>
    <t>Superfosfato Simples</t>
  </si>
  <si>
    <t>P2O5 solúvel em CNA+água; mínimo 16% em água; Ca e S totais</t>
  </si>
  <si>
    <t>Termofosfato Magnesiano</t>
  </si>
  <si>
    <t>P2O5 / Ca / Mg / Si</t>
  </si>
  <si>
    <t>P2O5 total; mínimo 11% solúvel em ác. cítrico 2% (1:100); Ca/Mg/Si totais</t>
  </si>
  <si>
    <t>Granulometria: mínimo 75% &lt; 0.15mm OU mínimo 85% &lt; 0.84mm</t>
  </si>
  <si>
    <t>P2O5 total; mínimo 14% solúvel em CNA+água</t>
  </si>
  <si>
    <t>Podem ser declarados teores de Ca e Mg</t>
  </si>
  <si>
    <t>P2O5 total; mínimo 15% do total solúvel em ác. cítrico 2% (1:100)</t>
  </si>
  <si>
    <t>Granulometria: mínimo 85% passante em 0.075mm (ABNT 200)</t>
  </si>
  <si>
    <t>P2O5 total; mínimo 16% solúvel em ác. cítrico 2% (1:100)</t>
  </si>
  <si>
    <t>Deve conter mínimo 15% de Cálcio</t>
  </si>
  <si>
    <t>P2O5 / Fe / Zn</t>
  </si>
  <si>
    <t>P2O5 total; mínimo 18% P2O5 solúvel em CNA+água</t>
  </si>
  <si>
    <t>Fe e Zn teores totais</t>
  </si>
  <si>
    <t>Fosfato Precipitado</t>
  </si>
  <si>
    <t>P2O5 total; mínimo 3% solúvel em CNA+água</t>
  </si>
  <si>
    <t>P2O5 total; mínimo 30% do total solúvel em ác. cítrico 2% (1:100)</t>
  </si>
  <si>
    <t>Granulometria: 100% &lt; 4.8mm; mínimo 80% &lt; 2.8mm</t>
  </si>
  <si>
    <t>Termofosfato Magnesiano Potássico</t>
  </si>
  <si>
    <t>P2O5 / K2O / Ca / Mg / Si</t>
  </si>
  <si>
    <t>P2O5 total; mínimo 6% solúvel em ác. cítrico 2% (1:100); K2O solúvel em ác. cítrico; Ca/Mg/Si totais</t>
  </si>
  <si>
    <t>Sólido (Pó e Farelado)</t>
  </si>
  <si>
    <t>Farinha de Osso Autoclavado</t>
  </si>
  <si>
    <t>P2O5 / N</t>
  </si>
  <si>
    <t>P2O5 total; mínimo 8% solúvel em ác. cítrico 2% (1:100)</t>
  </si>
  <si>
    <t>Deve conter mínimo 14% Ca e 3% Carbono Orgânico</t>
  </si>
  <si>
    <t>Acetato de Ferro</t>
  </si>
  <si>
    <t>FeOH(C2H3O2)2</t>
  </si>
  <si>
    <t>Teor total</t>
  </si>
  <si>
    <t>Alga Marinha Lithothamnium</t>
  </si>
  <si>
    <t>Contém também 2% Mg teor total</t>
  </si>
  <si>
    <t>N na forma amoniacal (NH3)</t>
  </si>
  <si>
    <t>Aquamônia</t>
  </si>
  <si>
    <t>N na forma amoniacal - solução aquosa</t>
  </si>
  <si>
    <t>Bicarbonato de Amônio</t>
  </si>
  <si>
    <t>NH4HCO3</t>
  </si>
  <si>
    <t>2ZnO.3B2O3.nH2O</t>
  </si>
  <si>
    <t>B / Zn</t>
  </si>
  <si>
    <t>S</t>
  </si>
  <si>
    <t>Na2B4O7.nH2O</t>
  </si>
  <si>
    <t>CoCO3</t>
  </si>
  <si>
    <t>CuCO3.Cu(OH)2</t>
  </si>
  <si>
    <t>FeCO3</t>
  </si>
  <si>
    <t>MgCO3</t>
  </si>
  <si>
    <t>Pode ser granulado com agente desagregante</t>
  </si>
  <si>
    <t>MnCO3</t>
  </si>
  <si>
    <t>NiCO3</t>
  </si>
  <si>
    <t>ZnCO3</t>
  </si>
  <si>
    <t>Cianamida de Cálcio</t>
  </si>
  <si>
    <t>N / Ca</t>
  </si>
  <si>
    <t>Mínimo 75% N na forma cianamídica; pode ter até 3% N como Nitrato de Cálcio</t>
  </si>
  <si>
    <t>(CaMg)(CO3)2+FeS2</t>
  </si>
  <si>
    <t>Ca / Mg / S</t>
  </si>
  <si>
    <t>Sº</t>
  </si>
  <si>
    <t>Para uso agrícola exige natureza física pó</t>
  </si>
  <si>
    <t>Sólido (Granulado)</t>
  </si>
  <si>
    <t>Deve conter mínimo 9.5% de bentonita p/p no produto final</t>
  </si>
  <si>
    <t>Hidroboracita</t>
  </si>
  <si>
    <t>CaO.MgO.3B2O3.6H2O</t>
  </si>
  <si>
    <t>Mínimo 7% Ca e 4% Mg</t>
  </si>
  <si>
    <t>Ca(OH)2</t>
  </si>
  <si>
    <t>Ca / Mg</t>
  </si>
  <si>
    <t>Mg(OH)2</t>
  </si>
  <si>
    <t>Nitrato de Amônio</t>
  </si>
  <si>
    <t>50% N amoniacal / 50% N nítrico</t>
  </si>
  <si>
    <t>Nitrato de Amônio e Cálcio</t>
  </si>
  <si>
    <t>Nitrato de Cálcio</t>
  </si>
  <si>
    <t>N na forma nítrica; pode ter até 1.5% N amoniacal</t>
  </si>
  <si>
    <t>Nitrossulfocálcio</t>
  </si>
  <si>
    <t>N / S / Ca</t>
  </si>
  <si>
    <t>Pentaborato de Sódio</t>
  </si>
  <si>
    <t>NaB5O8.5H2O</t>
  </si>
  <si>
    <t>Polifosfato de Ferro e Amônio</t>
  </si>
  <si>
    <t>Fe(NH4)HP2O7</t>
  </si>
  <si>
    <t>N / P2O5 / Fe</t>
  </si>
  <si>
    <t>Silicato de Cálcio</t>
  </si>
  <si>
    <t>CaSiO3</t>
  </si>
  <si>
    <t>Ca / Si</t>
  </si>
  <si>
    <t>Silicato de Magnésio</t>
  </si>
  <si>
    <t>Si / Mg</t>
  </si>
  <si>
    <t>Solução Nitrogenada</t>
  </si>
  <si>
    <t>Sulfato de Amônio</t>
  </si>
  <si>
    <t>N na forma amoniacal; máximo 1% tiocianato de amônio</t>
  </si>
  <si>
    <t>Sulfato de Cálcio</t>
  </si>
  <si>
    <t>Sulfonitrato de Amônio</t>
  </si>
  <si>
    <t>75% N amoniacal / 25% N nítrico</t>
  </si>
  <si>
    <t>Sulfonitrato de Amônio e Magnésio</t>
  </si>
  <si>
    <t>N / Mg / S</t>
  </si>
  <si>
    <t>67% N amoniacal / 33% N nítrico</t>
  </si>
  <si>
    <t>Trióxido de Molibdênio</t>
  </si>
  <si>
    <t>MoO3</t>
  </si>
  <si>
    <t>Ulexita</t>
  </si>
  <si>
    <t>Na2O.2CaO.5B2O3.16H2O</t>
  </si>
  <si>
    <t>Mínimo 7% Ca e 6% Na teores totais</t>
  </si>
  <si>
    <t>Óxido Cuproso</t>
  </si>
  <si>
    <t>Cu2O</t>
  </si>
  <si>
    <t>Óxido Cúprico</t>
  </si>
  <si>
    <t>CuO</t>
  </si>
  <si>
    <t>Óxido Manganoso</t>
  </si>
  <si>
    <t>MnO</t>
  </si>
  <si>
    <t>Óxido de Cobalto</t>
  </si>
  <si>
    <t>CoO</t>
  </si>
  <si>
    <t>CaO</t>
  </si>
  <si>
    <t>Óxido de Ferro</t>
  </si>
  <si>
    <t>Fe2O3</t>
  </si>
  <si>
    <t>MgO</t>
  </si>
  <si>
    <t>Óxido de Zinco</t>
  </si>
  <si>
    <t>ZnO</t>
  </si>
  <si>
    <t>NH4Cl</t>
  </si>
  <si>
    <t>Teor total (forma amoniacal)</t>
  </si>
  <si>
    <t>Mínimo 62% de Cloro (Cl)</t>
  </si>
  <si>
    <t>Uréia-Formaldeído</t>
  </si>
  <si>
    <t>Teor total (forma amídica)</t>
  </si>
  <si>
    <t>Mínimo 60% N insolúvel em água</t>
  </si>
  <si>
    <t>Colemanita</t>
  </si>
  <si>
    <t>CaO.3B2O3.5H2O</t>
  </si>
  <si>
    <t>Teor total (forma borato de cálcio)</t>
  </si>
  <si>
    <t>Mínimo 6% Ca</t>
  </si>
  <si>
    <t>CaCO3</t>
  </si>
  <si>
    <t>Teor total (forma carbonato)</t>
  </si>
  <si>
    <t>Pode ser granulado com agente desagregante. Pode conter até 3% Mg</t>
  </si>
  <si>
    <t>(CaMg)(CO3)2</t>
  </si>
  <si>
    <t>Sulfato de Potássio e Magnésio</t>
  </si>
  <si>
    <t>K2SO4.MgSO4</t>
  </si>
  <si>
    <t>K2O / Mg / S</t>
  </si>
  <si>
    <t>K e Mg solúveis em água</t>
  </si>
  <si>
    <t>Pode conter 1% ou mais de Cl</t>
  </si>
  <si>
    <t>Silicato de Cálcio e Magnésio</t>
  </si>
  <si>
    <t>CaSiO3+MgSiO3</t>
  </si>
  <si>
    <t>Ca / Mg / Si</t>
  </si>
  <si>
    <t>Si total (forma silicato); Ca total; Mg total</t>
  </si>
  <si>
    <t>Uréia</t>
  </si>
  <si>
    <t>(NH2)2CO</t>
  </si>
  <si>
    <t>MASTER — BASE UNIFICADA (BANCO + IMPORTAÇÕES)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</si>
  <si>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</si>
  <si>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</si>
  <si>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</si>
  <si>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</si>
  <si>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</si>
  <si>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</si>
  <si>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</si>
  <si>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</si>
  <si>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</si>
  <si>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</si>
  <si>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</si>
  <si>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Categoria de Ação</t>
  </si>
  <si>
    <t>Nome do Aditivo</t>
  </si>
  <si>
    <t>Abrev.</t>
  </si>
  <si>
    <t>Grupo</t>
  </si>
  <si>
    <t>Função Termodinâmica</t>
  </si>
  <si>
    <t>Alvo Principal</t>
  </si>
  <si>
    <t>Faixa pH Ideal</t>
  </si>
  <si>
    <t>Dose Máxima Técnica (%)</t>
  </si>
  <si>
    <t>Operação Unitária / Setup</t>
  </si>
  <si>
    <t>Alerta de Perigo Severo</t>
  </si>
  <si>
    <t>Por que é a opção "Padrão Ouro"?</t>
  </si>
  <si>
    <t>Fonte(s)</t>
  </si>
  <si>
    <t>🌪️ 5. Os "Misturadores" (Surfactantes e Reologia)</t>
  </si>
  <si>
    <t>APG</t>
  </si>
  <si>
    <t>Surfactante Não-Iônico (tolerante a eletrólitos)</t>
  </si>
  <si>
    <t>Reduz tensão interfacial e estabiliza dispersões; tende a ser mais tolerante a sais que alguns etoxilados.</t>
  </si>
  <si>
    <t>Caldas salinas com necessidade de molhabilidade e estabilidade coloidal</t>
  </si>
  <si>
    <t>4.0 – 11.0</t>
  </si>
  <si>
    <t>Adicionar após a dissolução principal de sais; controlar espuma; combinar com antiespumante se necessário.</t>
  </si>
  <si>
    <t>Espumação; turvação possível em salinidade extrema (avaliar cloud point).</t>
  </si>
  <si>
    <t>Boa compatibilidade e robustez em eletrólitos; excelente para estabilizar sem depender apenas de silicones.</t>
  </si>
  <si>
    <t>Banco Definitivo (base)</t>
  </si>
  <si>
    <t>FS</t>
  </si>
  <si>
    <t>Surfactante Extremo (fluorado, ultrabaixa tensão superficial)</t>
  </si>
  <si>
    <t>Redução extrema de tensão superficial e energia interfacial; melhora molhabilidade e estabiliza microestruturas interfaciais.</t>
  </si>
  <si>
    <t>Compatibilização interfacial 'impossível' e controle de microfase</t>
  </si>
  <si>
    <t>4.0 – 9.0</t>
  </si>
  <si>
    <t>Adicionar por último; dosar muito baixo; testar compatibilidade com salinidade e com silicones.</t>
  </si>
  <si>
    <t>Questões severas de EHS e persistência ambiental; incompatibilidades com alguns polímeros/surfactantes; controle rigoroso.</t>
  </si>
  <si>
    <t>Quando nada reduz tensão superficial o suficiente, fluorosurfactantes frequentemente são a última carta de engenharia interfacial.</t>
  </si>
  <si>
    <t>HASE</t>
  </si>
  <si>
    <t>Modificador Reológico (associativo, pH-dependente)</t>
  </si>
  <si>
    <t>Neutralização/ionização controla expansão do polímero; aumenta viscosidade e estabiliza dispersões.</t>
  </si>
  <si>
    <t>Controle de reologia e prevenção de separação/sedimentação em sistemas complexos</t>
  </si>
  <si>
    <t>7.5 – 10.0</t>
  </si>
  <si>
    <t>Adicionar e neutralizar gradualmente; exigir controle fino de pH para evitar overshoot de viscosidade.</t>
  </si>
  <si>
    <t>Muito sensível a pH e eletrólitos; pode gelificar abruptamente; exige testes em pequena escala.</t>
  </si>
  <si>
    <t>Permite 'ajustar' reologia por pH com alta eficiência — excelente para estabilizar caldas densas.</t>
  </si>
  <si>
    <t>HEUR</t>
  </si>
  <si>
    <t>Modificador Reológico (tintas/cosmética)</t>
  </si>
  <si>
    <t>Associação hidrofóbica reversível cria rede física; controla sedimentação e mantém microcristais suspensos.</t>
  </si>
  <si>
    <t>Estabilidade física (anti-sedimentação) em caldas muito densas e multissólidos</t>
  </si>
  <si>
    <t>7.0 – 10.0</t>
  </si>
  <si>
    <t>Adicionar sob agitação moderada; exige compatibilizante/surfactante adequado; ajustar viscosidade por etapas.</t>
  </si>
  <si>
    <t>Pode colapsar em alta salinidade; incompatível com certos eletrólitos; risco de 'gel' indesejado.</t>
  </si>
  <si>
    <t>É o padrão de tintas para reologia 'inteligente': estabiliza sem formar gel permanente (quando bem compatibilizado).</t>
  </si>
  <si>
    <t>NP-40</t>
  </si>
  <si>
    <t>Surfactante Não-iônico</t>
  </si>
  <si>
    <t>Reduz tensão superficial para &lt;25 mN/m</t>
  </si>
  <si>
    <t>Todos nutrientes</t>
  </si>
  <si>
    <t>4.0 – 12.0</t>
  </si>
  <si>
    <t>Homogeneização lenta para evitar espuma</t>
  </si>
  <si>
    <t>Forma espuma persistente se agitação excessiva</t>
  </si>
  <si>
    <t>HLB=17.8 - solubilização extrema de cristais</t>
  </si>
  <si>
    <t>P&amp;D (claud)</t>
  </si>
  <si>
    <t>PS80</t>
  </si>
  <si>
    <t>Surfactante Não-Iônico (alto HLB)</t>
  </si>
  <si>
    <t>Micelização e estabilização interfacial; reduz coalescência e mantém microgotas estáveis.</t>
  </si>
  <si>
    <t>Estabilização de microemulsões e compatibilização orgânica em meio aquoso</t>
  </si>
  <si>
    <t>Adicionar após dissolução dos sais; agitação moderada para evitar espuma; testar estabilidade a frio.</t>
  </si>
  <si>
    <t>Pode oxidar/degradar com tempo/temperatura; espumação; cloud point em salinidade alta.</t>
  </si>
  <si>
    <t>É um padrão industrial para solubilização e estabilidade interfacial com alta robustez de processo.</t>
  </si>
  <si>
    <t>NI-C9E9</t>
  </si>
  <si>
    <t>Surfactante Não-Iônico</t>
  </si>
  <si>
    <t>Reduz tensão superficial e melhora dispersão</t>
  </si>
  <si>
    <t>Todos</t>
  </si>
  <si>
    <t>Adicionar por último na formulação</t>
  </si>
  <si>
    <t>Pode formar espuma excessiva</t>
  </si>
  <si>
    <t>Alta eficiência em sistemas com baixa solubilidade</t>
  </si>
  <si>
    <t>P&amp;D (coop)</t>
  </si>
  <si>
    <t>TSEO</t>
  </si>
  <si>
    <t>Surfactante Avançado (organossilicone)</t>
  </si>
  <si>
    <t>Redução extrema de tensão superficial e modulação interfacial; ajuda a estabilizar microfases e reduzir aglomeração.</t>
  </si>
  <si>
    <t>Compatibilização interfacial e estabilidade física em misturas multiaditivo</t>
  </si>
  <si>
    <t>5.0 – 9.0</t>
  </si>
  <si>
    <t>Adicionar por último e sob baixa agitação; evitar cisalhamento excessivo após adição.</t>
  </si>
  <si>
    <t>Espumação e instabilidade se adicionado cedo; sensível a pH extremo; pode aumentar muito permeação (risco de fitotoxicidade).</t>
  </si>
  <si>
    <t>Entrega desempenho interfacial inigualável; quando precisa 'quebrar' tensão superficial, é referência industrial.</t>
  </si>
  <si>
    <t>🎱 3. Os "Espalhadores" (Dispersantes e Polímeros)</t>
  </si>
  <si>
    <t>CMC-Na</t>
  </si>
  <si>
    <t>Espessante Protetor</t>
  </si>
  <si>
    <t>Formação de gel protetor ao redor cristais</t>
  </si>
  <si>
    <t>Fosfatos, nitratos</t>
  </si>
  <si>
    <t>6.0 – 8.5</t>
  </si>
  <si>
    <t>Hidratação completa - 2h de agitação</t>
  </si>
  <si>
    <t>Flocula com Al³⁺ e Fe³⁺</t>
  </si>
  <si>
    <t>Grau DS=0.9 - máxima substituição carboxílica</t>
  </si>
  <si>
    <t>AA-MA</t>
  </si>
  <si>
    <t>Dispersante Copolimérico</t>
  </si>
  <si>
    <t>Dupla funcionalidade: dispersão + quelação</t>
  </si>
  <si>
    <t>Ca, Mg, Fe</t>
  </si>
  <si>
    <t>6.0 – 9.0</t>
  </si>
  <si>
    <t>pH 7.5 antes da adição - máxima eficiência</t>
  </si>
  <si>
    <t>Precipita &lt;pH 5.0</t>
  </si>
  <si>
    <t>Relação 3:1 acrilato:maleato - otimizada para Ca²⁺</t>
  </si>
  <si>
    <t>AA/AMPS</t>
  </si>
  <si>
    <t>Hiperdispersante Estérico (alto desempenho em eletrólitos)</t>
  </si>
  <si>
    <t>Grupos sulfonatos mantêm carga/solvatação em força iônica alta; melhora estabilidade coloidal extrema.</t>
  </si>
  <si>
    <t>Caldas ultra-salinas com tendência a floculação/gelificação</t>
  </si>
  <si>
    <t>3.0 – 11.0</t>
  </si>
  <si>
    <t>Adicionar cedo; usar com quelante para Ca/Mg; ajustar pH no fim.</t>
  </si>
  <si>
    <t>Pode elevar viscosidade se combinado com certos espessantes; risco de espuma com surfactantes.</t>
  </si>
  <si>
    <t>Sulfonados toleram eletrólitos melhor que muitos carboxilatos — ótima escolha quando tudo mais flocula.</t>
  </si>
  <si>
    <t>EO/PO</t>
  </si>
  <si>
    <t>Solubilizante / Compatibilizante Micelar</t>
  </si>
  <si>
    <t>Micelização controlada e compatibilização de fases; reduz energia interfacial e estabiliza microestruturas.</t>
  </si>
  <si>
    <t>Misturas com orgânicos/surfactantes difíceis e turvação por microfase</t>
  </si>
  <si>
    <t>4.0 – 10.0</t>
  </si>
  <si>
    <t>Pré-dissolver (pode exigir aquecimento); atenção a cloud point; adicionar antes do silicone.</t>
  </si>
  <si>
    <t>Pode gelificar (transição sol-gel) em certas condições; sensível a temperatura e força iônica.</t>
  </si>
  <si>
    <t>É um dos compatibilizantes mais previsíveis para manter fases estáveis via micelas em condições extremas.</t>
  </si>
  <si>
    <t>GLY</t>
  </si>
  <si>
    <t>Crioprotetor / Umectante</t>
  </si>
  <si>
    <t>Reduz atividade de água e ponto de congelamento; aumenta viscosidade e reduz mobilidade para nucleação.</t>
  </si>
  <si>
    <t>Cristalização a frio e estabilidade de armazenamento</t>
  </si>
  <si>
    <t>2.0 – 12.0</t>
  </si>
  <si>
    <t>Adicionar sob agitação; preferir incorporar antes de surfactantes para reduzir espuma; pode exigir aquecimento leve.</t>
  </si>
  <si>
    <t>Pode elevar muito viscosidade e comprometer bombeamento/atomização; risco de contaminação microbiana se não houver preservação.</t>
  </si>
  <si>
    <t>Crioprotetor clássico, barato e eficaz para segurar estabilidade a frio em sistemas aquosos densos.</t>
  </si>
  <si>
    <t>Gly-99</t>
  </si>
  <si>
    <t>Crioprotetor Premium</t>
  </si>
  <si>
    <t>Ligações H múltiplas - evita formação de gelo</t>
  </si>
  <si>
    <t>K₂O, P₂O₅</t>
  </si>
  <si>
    <t>3.0 – 12.0</t>
  </si>
  <si>
    <t>Adicionar lentamente - alta viscosidade</t>
  </si>
  <si>
    <t>Higroscópico extremo</t>
  </si>
  <si>
    <t>USP Grade - máxima pureza analítica</t>
  </si>
  <si>
    <t>HP-β-CD</t>
  </si>
  <si>
    <t>Carreador Supramolecular (farmacêutico)</t>
  </si>
  <si>
    <t>Complexação de inclusão; reduz energia livre de solvatação de compostos pouco solúveis.</t>
  </si>
  <si>
    <t>Solubilização de componentes orgânicos e estabilização de misturas com microfase</t>
  </si>
  <si>
    <t>3.0 – 10.0</t>
  </si>
  <si>
    <t>Pré-dissolver em água morna; adicionar orgânicos lentamente sob agitação; deixar 'maturar' para clarear.</t>
  </si>
  <si>
    <t>Viscosidade sobe rápido em altas doses; pode precipitar se força iônica for extrema sem co-solvente.</t>
  </si>
  <si>
    <t>Grande ganho de solubilidade para orgânicos com excelente estabilidade quando bem formulado.</t>
  </si>
  <si>
    <t>SHMP</t>
  </si>
  <si>
    <t>Dispersante Inorgânico</t>
  </si>
  <si>
    <t>Sequestro de cátions multivalentes por complexação</t>
  </si>
  <si>
    <t>P₂O₅, K₂O</t>
  </si>
  <si>
    <t>Adicionar lentamente - alta exotermia</t>
  </si>
  <si>
    <t>Hidrolisa rapidamente em pH&lt;5.0 ou &gt;9.0</t>
  </si>
  <si>
    <t>Grau alimentício - máxima pureza para estabilidade</t>
  </si>
  <si>
    <t>BYK</t>
  </si>
  <si>
    <t>Hiperdispersante Estérico (tintas/vernizes)</t>
  </si>
  <si>
    <t>Adsorção específica em partículas + estabilização estérica; reduz floculação e sedimentação mesmo em alta carga de sólidos.</t>
  </si>
  <si>
    <t>Suspensões ultra densas e microcristais persistentes (controle de reologia/estabilidade física)</t>
  </si>
  <si>
    <t>Requer alto cisalhamento para incorporar; pré-misturar com fase orgânica/umectante quando aplicável.</t>
  </si>
  <si>
    <t>Pode desestabilizar se houver incompatibilidade de solventes; risco de espuma; requer screening de compatibilidade.</t>
  </si>
  <si>
    <t>É tecnologia madura de dispersão extrema usada em tintas de alto desempenho — excelente para manter sólidos finos estáveis. | (Banco Definitivo (base)) Os hiperdispersantes de tintas são referência quando o problema é estabilidade física extrema com alta carga de sólidos.</t>
  </si>
  <si>
    <t>HS15</t>
  </si>
  <si>
    <t>Solubilizante Não-Iônico (farmacêutico/cosmético)</t>
  </si>
  <si>
    <t>Formação de micelas e redução de energia interfacial; solubiliza componentes hidrofóbicos em água.</t>
  </si>
  <si>
    <t>Compatibilização de co-solventes e aditivos orgânicos com sais</t>
  </si>
  <si>
    <t>Pré-aquecer para fluidez; adicionar sob agitação moderada; avaliar cloud point em salinidade alta.</t>
  </si>
  <si>
    <t>Cloud point e turvação em eletrólitos; pode espumar; pode interagir com antiespumantes.</t>
  </si>
  <si>
    <t>Solubilizante muito forte e estável, referência em formulações difíceis quando o problema é microfase orgânica.</t>
  </si>
  <si>
    <t>OP-10</t>
  </si>
  <si>
    <t>Solubilizante HLB Alto</t>
  </si>
  <si>
    <t>Microemulsificação de cristais hidrofóbicos</t>
  </si>
  <si>
    <t>Micros organometálicos</t>
  </si>
  <si>
    <t>Pré-misturar com micros antes de diluir</t>
  </si>
  <si>
    <t>Turvo &gt;70°C (ponto de turbidez)</t>
  </si>
  <si>
    <t>10 grupos OE - balanço hidrofílico extremo</t>
  </si>
  <si>
    <t>PCE</t>
  </si>
  <si>
    <t>Hiperdispersante Estérico (tipo superplastificante)</t>
  </si>
  <si>
    <t>Repulsão estérica por cadeias laterais (PEG) + ancoragem aniônica; dispersa partículas e reduz aglomeração.</t>
  </si>
  <si>
    <t>Suspensões ultra concentradas / microcristais persistentes / reologia difícil</t>
  </si>
  <si>
    <t>6.0 – 10.5</t>
  </si>
  <si>
    <t>Pré-misturar; pode exigir alto cisalhamento para incorporar em meios viscosos; adicionar antes de ajustes finais.</t>
  </si>
  <si>
    <t>Pode interagir fortemente com Ca²⁺ e alterar reologia de forma abrupta; testes em pequena escala são obrigatórios.</t>
  </si>
  <si>
    <t>É o padrão industrial para dispersão extrema em sistemas de alto sólido; a arquitetura 'comb' é muito eficiente.</t>
  </si>
  <si>
    <t>PVP</t>
  </si>
  <si>
    <t>Polímero Carreador / Estabilizante</t>
  </si>
  <si>
    <t>Interações por ponte de hidrogênio + estabilização estérica; reduz cristalização de algumas espécies e estabiliza dispersões.</t>
  </si>
  <si>
    <t>Redução de cristalização a frio e estabilização de microfases orgânicas</t>
  </si>
  <si>
    <t>2.0 – 10.0</t>
  </si>
  <si>
    <t>Adicionar aos poucos para evitar grumos; hidratação completa antes da carga final de sais.</t>
  </si>
  <si>
    <t>Aumenta viscosidade; em força iônica extrema pode haver turvação/complexos; risco de espuma com surfactantes.</t>
  </si>
  <si>
    <t>É um estabilizante versátil que funciona como 'cola' supramolecular e antinucleante em muitos sistemas.</t>
  </si>
  <si>
    <t>PAA-Na</t>
  </si>
  <si>
    <t>Dispersante Polimérico</t>
  </si>
  <si>
    <t>Adsorção em núcleos cristalinos - inibe crescimento</t>
  </si>
  <si>
    <t>Ca, Mg, K, micros</t>
  </si>
  <si>
    <t>6.5 – 8.5</t>
  </si>
  <si>
    <t>Adicionar antes dos nutrientes sob alta agitação</t>
  </si>
  <si>
    <t>Flocula com Ca²⁺ &gt;1000ppm</t>
  </si>
  <si>
    <t>Peso molecular 5000-15000 Da - máxima eficiência anti-cristalina | (P&amp;D (coop)) Alta eficiência em sistemas com alta carga iônica</t>
  </si>
  <si>
    <t>P&amp;D (claud), P&amp;D (coop)</t>
  </si>
  <si>
    <t>PEO-20k</t>
  </si>
  <si>
    <t>Agente Suspensor</t>
  </si>
  <si>
    <t>Estabilização estérica de partículas suspensas</t>
  </si>
  <si>
    <t>Sais insolúveis</t>
  </si>
  <si>
    <t>Dissolver a 80°C - agitação lenta</t>
  </si>
  <si>
    <t>Degrada por cisalhamento mecânico intenso</t>
  </si>
  <si>
    <t>Massa molecular ultra-alta - máxima viscosidade</t>
  </si>
  <si>
    <t>PVP-30</t>
  </si>
  <si>
    <t>Estabiliza partículas coloidais e reduz floculação</t>
  </si>
  <si>
    <t>4.0 – 8.5</t>
  </si>
  <si>
    <t>Pré-diluir em água antes da adição</t>
  </si>
  <si>
    <t>Incompatível com sais de prata</t>
  </si>
  <si>
    <t>Usado em formulações farmacêuticas por sua estabilidade</t>
  </si>
  <si>
    <t>PVP-K90</t>
  </si>
  <si>
    <t>Agente Anti-nucleação</t>
  </si>
  <si>
    <t>Inibição de crescimento cristalino por adsorção superficial</t>
  </si>
  <si>
    <t>N-P-K, micros</t>
  </si>
  <si>
    <t>Solubilizar a 50°C antes da mistura</t>
  </si>
  <si>
    <t>Precipita com taninos e iodo</t>
  </si>
  <si>
    <t>Peso molecular 360.000 - máxima cobertura de superfície</t>
  </si>
  <si>
    <t>SLP</t>
  </si>
  <si>
    <t>Solubilizante Polimérico (farmacêutico)</t>
  </si>
  <si>
    <t>Formação de micelas/pseudomicelas e estabilização de fase por polímero anfifílico.</t>
  </si>
  <si>
    <t>Compatibilização extrema de orgânicos/surfactantes e redução de turvação</t>
  </si>
  <si>
    <t>Pré-hidratar o polímero; pode exigir aquecimento moderado para dissolução; adicionar sob agitação constante.</t>
  </si>
  <si>
    <t>Pode formar géis em força iônica alta; cloud point e viscosidade devem ser monitorados.</t>
  </si>
  <si>
    <t>Polímero 'inteligente' para manter orgânicos difíceis e prevenir separação de fase em soluções complexas.</t>
  </si>
  <si>
    <t>SOR-70</t>
  </si>
  <si>
    <t>Poliol Osmótico</t>
  </si>
  <si>
    <t>Redução de atividade da água - efeito crioprotetor</t>
  </si>
  <si>
    <t>K₂SO₄, KNO₃</t>
  </si>
  <si>
    <t>4.0 – 8.0</t>
  </si>
  <si>
    <t>Processo de referência (5 m³): aquecer gradualmente até 70–75°C; taxa de adição do sorbitol &lt; 100 kg/min; resfriamento forçado ≤ 5°C/h até 5°C; envase em IBC/tambores com inertização N₂; armazenamento recomendado 5–25°C (qualificar lote para não cristalizar a 5°C).</t>
  </si>
  <si>
    <t>Risco de cristalização/névoa a frio se o resfriamento for rápido e/ou sólidos elevados; viscosidade aumenta em baixa temperatura (impacto em bombeamento); APHA &gt; 100 indica degradação; produto nutritivo → risco microbiológico sem preservação/CIP.</t>
  </si>
  <si>
    <t>Poliol padrão para reduzir atividade de água e melhorar estabilidade a frio em caldas concentradas; excelente compatibilidade com boratos e nitratos em regimes usuais, com forte base industrial e logística (IBC/tambores).</t>
  </si>
  <si>
    <t>TDS_Sorbitol_70_Liquido.xlsx (31/03/2026, v2.0)</t>
  </si>
  <si>
    <t>SBE-β-CD</t>
  </si>
  <si>
    <t>Complexação de inclusão: encapsula moléculas/fragmentos hidrofóbicos em cavidades, aumentando solubilidade aparente.</t>
  </si>
  <si>
    <t>Compatibilização de co-solventes/surfactantes orgânicos e redução de separação de fase</t>
  </si>
  <si>
    <t>Dissolver completamente em água antes de adicionar orgânicos; tempo de complexação melhora clareza.</t>
  </si>
  <si>
    <t>Pode elevar viscosidade e custo; pode 'capturar' componentes e alterar desempenho de outros aditivos.</t>
  </si>
  <si>
    <t>É uma das soluções mais eficazes para estabilizar orgânicos difíceis em meio aquoso via química supramolecular.</t>
  </si>
  <si>
    <t>HEDP</t>
  </si>
  <si>
    <t>Inibidor de Cristalização</t>
  </si>
  <si>
    <t>Complexação com cátions formadores de cristais</t>
  </si>
  <si>
    <t>Ca-P, Mg-P</t>
  </si>
  <si>
    <t>Adicionar antes da fonte de fósforo</t>
  </si>
  <si>
    <t>Precipita com Fe³⁺ em pH neutro</t>
  </si>
  <si>
    <t>4 grupos fosfonato - máxima quelação</t>
  </si>
  <si>
    <t>🔨 2. Os "Quebra-Pedras" (Anticristalizantes e Fosfonatos)</t>
  </si>
  <si>
    <t>ATMP</t>
  </si>
  <si>
    <t>Inibidor de Incrustação (óleo &amp; gás) / Complexante</t>
  </si>
  <si>
    <t>Inibição de crescimento cristalino e antiescala via fosfonatos; reduz energia de nucleação e distorce o retículo.</t>
  </si>
  <si>
    <t>Incrustação de CaCO3/CaSO4/Ca-fosfatos em meios concentrados</t>
  </si>
  <si>
    <t>1.5 – 12.5</t>
  </si>
  <si>
    <t>Adicionar antes de fosfatos e antes do ajuste final de pH; sinergia com poliacrilatos.</t>
  </si>
  <si>
    <t>Produto ácido e complexante forte: pode elevar corrosividade e interferir em micronutrientes se usado em excesso.</t>
  </si>
  <si>
    <t>É um dos pilares de antiescala industrial: eficiente, previsível e sinérgico com dispersantes.</t>
  </si>
  <si>
    <t>AA/MA</t>
  </si>
  <si>
    <t>Antiescala Extremo / Dispersante Polimérico</t>
  </si>
  <si>
    <t>Distorção do crescimento cristalino + dispersão; muito eficiente contra fosfatos/carbonatos.</t>
  </si>
  <si>
    <t>Sais de Ca + fosfato/carbonato (quando traços de Ca aparecem) e turvação rápida</t>
  </si>
  <si>
    <t>5.5 – 10.5</t>
  </si>
  <si>
    <t>Adicionar antes de fontes críticas e antes de elevar pH; manter agitação até clarear.</t>
  </si>
  <si>
    <t>Em excesso pode aumentar muito a viscosidade; incompatível com polímeros catiônicos.</t>
  </si>
  <si>
    <t>É um dos copolímeros mais 'agressivos' para segurar precipitação por fosfato/carbonato.</t>
  </si>
  <si>
    <t>DTPMP</t>
  </si>
  <si>
    <t>Inibidor de Incrustação Extremo (óleo &amp; gás)</t>
  </si>
  <si>
    <t>Complexação multidentada + inibição de nucleação/crescimento; suprime precipitação rápida em alta supersaturação.</t>
  </si>
  <si>
    <t>Precipitação 'instantânea' em presença de Ca/Mg/Fe com fosfatos/sulfatos</t>
  </si>
  <si>
    <t>Adicionar muito cedo; garantir homogenização total antes da carga de sais; usar com controle de corrosão.</t>
  </si>
  <si>
    <t>Alta acidez/quelagem: pode aumentar corrosão e 'roubar' metais de ligas; exige compatibilidade de materiais.</t>
  </si>
  <si>
    <t>Quando o sistema está no limite físico, DTPMP costuma ser o antiescala mais 'agressivo' disponível comercialmente.</t>
  </si>
  <si>
    <t>HBED</t>
  </si>
  <si>
    <t>Super-Anticristalizante</t>
  </si>
  <si>
    <t>Quelação ultra-estável com constante K=10³⁹</t>
  </si>
  <si>
    <t>Fe, Cu, Zn</t>
  </si>
  <si>
    <t>3.5 – 8.5</t>
  </si>
  <si>
    <t>Adicionar lentamente sob agitação a 25°C</t>
  </si>
  <si>
    <t>Não misturar com sulfatos concentrados</t>
  </si>
  <si>
    <t>Maior estabilidade termodinâmica que EDTA - não libera metais</t>
  </si>
  <si>
    <t>PASP</t>
  </si>
  <si>
    <t>Dispersante Polimérico / Antiescala</t>
  </si>
  <si>
    <t>Múltiplos carboxilatos promovem estabilização eletroestérica e reduzem crescimento cristalino.</t>
  </si>
  <si>
    <t>Estabilidade de longo prazo contra turvação/sedimentação em caldas densas</t>
  </si>
  <si>
    <t>Adicionar sob agitação; bom como 'seguro' quando há risco de crescimento lento de cristais.</t>
  </si>
  <si>
    <t>Perde desempenho em pH muito ácido; pode espumar se combinado com certos surfactantes.</t>
  </si>
  <si>
    <t>É um estabilizante robusto para manter microcristais dispersos e reduzir aglomeração ao longo do tempo.</t>
  </si>
  <si>
    <t>PBTC</t>
  </si>
  <si>
    <t>Inibidor de Incrustação / Sequestrante Híbrido</t>
  </si>
  <si>
    <t>Antiescala com excelente tolerância a oxidantes e alta performance em carbonatos/fosfatos.</t>
  </si>
  <si>
    <t>Controle de CaCO3/Ca-fosfatos com melhor tolerância a condições oxidantes</t>
  </si>
  <si>
    <t>Adicionar no início; bom em formulações com oxidantes moderados; combinar com polímeros dispersantes.</t>
  </si>
  <si>
    <t>Produto ácido; pode aumentar corrosividade; compatibilidade com materiais deve ser verificada.</t>
  </si>
  <si>
    <t>PBTC é o 'fosfonato elegante': forte antiescala com estabilidade química acima da média.</t>
  </si>
  <si>
    <t>PESA</t>
  </si>
  <si>
    <t>Antiescala / Dispersante (alta tolerância)</t>
  </si>
  <si>
    <t>Interfere na nucleação e mantém partículas finas dispersas; boa estabilidade em eletrólitos.</t>
  </si>
  <si>
    <t>Controle de precipitados finos e incrustação em salinidade alta</t>
  </si>
  <si>
    <t>5.0 – 10.5</t>
  </si>
  <si>
    <t>Adicionar cedo; combinar com poliacrilato em sistemas muito carregados.</t>
  </si>
  <si>
    <t>Pode gerar turvação se houver incompatibilidade com certos co-solventes; testar cloud point.</t>
  </si>
  <si>
    <t>É muito tolerante e 'estável' em meios salinos, útil como estabilizante de longo prazo.</t>
  </si>
  <si>
    <t>PMA</t>
  </si>
  <si>
    <t>Anticristalizante / Antiescala</t>
  </si>
  <si>
    <t>Bloqueio de sítios de crescimento cristalino e redução de aglomeração; aumenta estabilidade coloidal.</t>
  </si>
  <si>
    <t>Tendência a precipitar em frio (cristais finos) e scaling</t>
  </si>
  <si>
    <t>4.5 – 10.0</t>
  </si>
  <si>
    <t>Adicionar no início; manter parcialmente ionizado (pH moderado) para melhor desempenho.</t>
  </si>
  <si>
    <t>Menor eficiência em pH muito baixo; excesso pode aumentar condutividade/viscosidade.</t>
  </si>
  <si>
    <t>Entrega antiescala consistente e costuma ser muito sinérgico com fosfonatos.</t>
  </si>
  <si>
    <t>Na-PAA</t>
  </si>
  <si>
    <t>Hiperdispersante Estérico / Anticristalizante</t>
  </si>
  <si>
    <t>Adsorção em faces cristalinas + repulsão eletroestérica; inibe nucleação e aglomeração.</t>
  </si>
  <si>
    <t>Sais K/P/N em supersaturação + microcristais em frio</t>
  </si>
  <si>
    <t>Adicionar sob boa agitação; pré-diluir se viscosidade alta; ajustar pH no fim.</t>
  </si>
  <si>
    <t>Pode gelificar/espessar em força iônica extrema; pode flocular com Ca²⁺/Mg²⁺ se não houver quelante.</t>
  </si>
  <si>
    <t>É a ferramenta padrão de engenharia para estabilizar supersaturação: simples, forte e amplamente sinérgica.</t>
  </si>
  <si>
    <t>🚀 4. Os "Abre-Alas" (Co-solventes e Soluções Extremos)</t>
  </si>
  <si>
    <t>PG</t>
  </si>
  <si>
    <t>Co-solvente</t>
  </si>
  <si>
    <t>Reduz tensão superficial e aumenta solubilidade de sais</t>
  </si>
  <si>
    <t>3.0 – 9.5</t>
  </si>
  <si>
    <t>Adicionar diretamente à solução concentrada</t>
  </si>
  <si>
    <t>Pode reduzir viscosidade excessivamente</t>
  </si>
  <si>
    <t>Excelente compatibilidade com sistemas aquosos e orgânicos</t>
  </si>
  <si>
    <t>PC</t>
  </si>
  <si>
    <t>Co-solvente Extremo (carbonato, alta constante dielétrica)</t>
  </si>
  <si>
    <t>Eleva constante dielétrica do meio e melhora solvatação iônica; reduz tendência de cristalização por alteração de atividade.</t>
  </si>
  <si>
    <t>Sais altamente concentrados e estabilidade a frio</t>
  </si>
  <si>
    <t>Adicionar sob agitação após dissolução parcial; controlar temperatura para evitar turvação (cloud point com não-iônicos).</t>
  </si>
  <si>
    <t>Pode hidrolisar lentamente em condições muito alcalinas e quentes; verificar compatibilidade com elastômeros.</t>
  </si>
  <si>
    <t>Co-solvente muito eficaz para aumentar margem de solubilidade sem volatilidade extrema.</t>
  </si>
  <si>
    <t>DES</t>
  </si>
  <si>
    <t>Co-solvente Extremo (Solvente Eutético Profundo)</t>
  </si>
  <si>
    <t>Modifica atividade de água e estrutura do solvente, reduzindo nucleação e favorecendo solubilidade aparente.</t>
  </si>
  <si>
    <t>Estabilidade a frio e compatibilização em caldas muito concentradas</t>
  </si>
  <si>
    <t>Pré-aquecer para fluidez; adicionar sob agitação; ajustar viscosidade por co-solventes (PEG/PG) se necessário.</t>
  </si>
  <si>
    <t>Viscosidade e higroscopicidade elevadas; pode alterar drasticamente reologia e cloud point.</t>
  </si>
  <si>
    <t>É uma alternativa 'high-tech' para reduzir cristalização a frio quando glicóis/PEG não resolvem.</t>
  </si>
  <si>
    <t>Rede intensa de ligações H altera atividade da água e solvatação; pode aumentar solubilidade e reduzir cristalização a frio.</t>
  </si>
  <si>
    <t>Supersaturação a frio e compatibilização de sistemas altamente polares</t>
  </si>
  <si>
    <t>Pré-aquecer (50–70°C) para reduzir viscosidade; adicionar sob alto cisalhamento; avaliar estabilidade em armazenamento.</t>
  </si>
  <si>
    <t>Viscosidade muito alta; pode absorver água e mudar propriedades; pode desestabilizar surfactantes por alteração de cloud point.</t>
  </si>
  <si>
    <t>DES podem ampliar drasticamente a janela de solubilidade/estabilidade em sistemas onde água+glicóis falham.</t>
  </si>
  <si>
    <t>DMSO</t>
  </si>
  <si>
    <t>Co-solvente Extremo (polar aprótico)</t>
  </si>
  <si>
    <t>Aumenta solvatação de espécies polares e reduz atividade da água; melhora miscibilidade e suprime cristalização por mudança do meio.</t>
  </si>
  <si>
    <t>Supersaturação de sais + estabilidade a frio (cristalização induzida por queda de T)</t>
  </si>
  <si>
    <t>Adicionar lentamente sob agitação; preferir após dissolução inicial dos sais para evitar hotspots de viscosidade.</t>
  </si>
  <si>
    <t>Alta permeação cutânea (transporta contaminantes); incompatível com oxidantes fortes; exige controle rigoroso de EHS.</t>
  </si>
  <si>
    <t>É um dos co-solventes mais potentes para destravar solubilidade/estabilidade — porém com grande custo de segurança.</t>
  </si>
  <si>
    <t>DPM</t>
  </si>
  <si>
    <t>Co-solvente Avançado</t>
  </si>
  <si>
    <t>Solubiliza sais cristalinos via complexação por pontes H</t>
  </si>
  <si>
    <t>K₂O, P₂O₅, micros</t>
  </si>
  <si>
    <t>4.0 – 7.5</t>
  </si>
  <si>
    <t>Misturar a temperatura ambiente</t>
  </si>
  <si>
    <t>Inflamável - ponto fulgor 75°C</t>
  </si>
  <si>
    <t>Solvente aprótico - quebra redes cristalinas de sais</t>
  </si>
  <si>
    <t>IL</t>
  </si>
  <si>
    <t>Co-solvente Extremo (Líquido Iônico)</t>
  </si>
  <si>
    <t>Altera fortemente solvatação/atividade e pode dissolver espécies difíceis; reduz tendência a cristalização por modificação do meio.</t>
  </si>
  <si>
    <t>Compatibilização extrema e supressão de cristalização em sistemas altamente polares</t>
  </si>
  <si>
    <t>Adicionar em baixas doses; requer screening rigoroso de compatibilidade (polímeros, surfactantes, sais).</t>
  </si>
  <si>
    <t>EHS e compatibilidade de materiais críticos; pode ser corrosivo/reativo dependendo de impurezas; custo elevado.</t>
  </si>
  <si>
    <t>Quando precisa mudar a termodinâmica do solvente de forma radical, líquidos iônicos são a ferramenta mais 'forte'.</t>
  </si>
  <si>
    <t>NMP</t>
  </si>
  <si>
    <t>Supersolvente Polar</t>
  </si>
  <si>
    <t>Dissolução extrema de sais via momento dipolar alto</t>
  </si>
  <si>
    <t>Fosfatos complexos</t>
  </si>
  <si>
    <t>Usar sob exaustão - vapores tóxicos</t>
  </si>
  <si>
    <t>Absorção dérmica - EPI obrigatório</t>
  </si>
  <si>
    <t>Constante dielétrica 32 - dissolve qualquer sal</t>
  </si>
  <si>
    <t>Solvatação forte e redução de atividade de água; melhora miscibilidade e 'carrega' aditivos orgânicos difíceis.</t>
  </si>
  <si>
    <t>Compatibilização de polímeros/surfactantes em alta salinidade</t>
  </si>
  <si>
    <t>Adicionar sob agitação; pode exigir aquecimento moderado para reduzir viscosidade; evitar contato direto com sais secos.</t>
  </si>
  <si>
    <t>Solvente forte: pode atacar plásticos/selos; riscos toxicológicos; ventilação e EPI adequados são críticos.</t>
  </si>
  <si>
    <t>Quando precisa forçar compatibilidade orgânica em meio aquoso salino, NMP frequentemente funciona.</t>
  </si>
  <si>
    <t>PEG-400</t>
  </si>
  <si>
    <t>Umectante / Co-solvente / Modificador de atividade de água</t>
  </si>
  <si>
    <t>Reduz atividade de água e suaviza gradientes de solvatação; ajuda a manter supersaturação e prevenir cristalização a frio.</t>
  </si>
  <si>
    <t>Estabilidade a frio e compatibilização de multiaditivos em caldas densas</t>
  </si>
  <si>
    <t>3.0 – 11.5</t>
  </si>
  <si>
    <t>Adicionar sob agitação; pode exigir aquecimento leve para reduzir viscosidade; homogenizar antes de ajustes finais.</t>
  </si>
  <si>
    <t>Excesso pode destruir atomização (viscosidade alta); pode causar espuma em combinação com não-iônicos.</t>
  </si>
  <si>
    <t>É o 'amortecedor universal': melhora estabilidade física e tolerância a frio sem solventes muito agressivos.</t>
  </si>
  <si>
    <t>PEG-8000</t>
  </si>
  <si>
    <t>Co-solvente Polimérico</t>
  </si>
  <si>
    <t>Reduz atividade da água - previne cristalização salina</t>
  </si>
  <si>
    <t>N-P-K, Micros</t>
  </si>
  <si>
    <t>Dissolver a 60°C antes de adicionar nutrientes</t>
  </si>
  <si>
    <t>Viscosidade extrema &gt;20%; Gelifica com boratos</t>
  </si>
  <si>
    <t>Massa molecular alta - efeito crioprotetor extremo</t>
  </si>
  <si>
    <t>PEA-D230</t>
  </si>
  <si>
    <t>Co-solvente / Modificador de Solubilidade</t>
  </si>
  <si>
    <t>Interage com íons metálicos e reduz agregação</t>
  </si>
  <si>
    <t>Zn, Cu, Mn</t>
  </si>
  <si>
    <t>Adicionar lentamente com agitação</t>
  </si>
  <si>
    <t>Pode reagir com ácidos fortes</t>
  </si>
  <si>
    <t>Alta afinidade com metais de transição</t>
  </si>
  <si>
    <t>PEG-6000</t>
  </si>
  <si>
    <t>Polióis de Cadeia Longa</t>
  </si>
  <si>
    <t>Aumenta a viscosidade e reduz a taxa de cristalização</t>
  </si>
  <si>
    <t>Todos exceto Boro</t>
  </si>
  <si>
    <t>Dissolver em água quente antes da adição</t>
  </si>
  <si>
    <t>Pode formar gel em presença de Ca em excesso</t>
  </si>
  <si>
    <t>Excelente para sistemas com alta concentração de K e N</t>
  </si>
  <si>
    <t>BA</t>
  </si>
  <si>
    <t>Melhora solubilidade de compostos orgânicos e quelantes</t>
  </si>
  <si>
    <t>Fe, Zn, Cu</t>
  </si>
  <si>
    <t>3.0 – 8.0</t>
  </si>
  <si>
    <t>Adicionar sob agitação moderada</t>
  </si>
  <si>
    <t>Volátil; inflamável</t>
  </si>
  <si>
    <t>Alta penetração em tecidos vegetais</t>
  </si>
  <si>
    <t>GBL</t>
  </si>
  <si>
    <t>Co-solvente Extremo (lactona, polar)</t>
  </si>
  <si>
    <t>Melhora solvatação e miscibilidade; pode reduzir cristalização por alteração do meio e atividade de água.</t>
  </si>
  <si>
    <t>Estabilidade a frio e compatibilização de orgânicos</t>
  </si>
  <si>
    <t>Adicionar lentamente; controlar compatibilidade com surfactantes; testar cloud point em diferentes temperaturas.</t>
  </si>
  <si>
    <t>Solvente forte; compatibilidade com polímeros/selos pode ser crítica; requer controle de segurança.</t>
  </si>
  <si>
    <t>É um co-solvente potente e relativamente estável que aumenta janela de solubilidade em sistemas difíceis.</t>
  </si>
  <si>
    <t>🛡️ 1. Os "Guarda-Costas" (Quelantes e Complexantes)</t>
  </si>
  <si>
    <t>DTPA</t>
  </si>
  <si>
    <t>Super-Quelante Sintético</t>
  </si>
  <si>
    <t>Complexação mais forte e 'rápida' que EDTA para diversos metais, mantendo espécies solúveis em pH amplo.</t>
  </si>
  <si>
    <t>Fe/Mn/Zn/Cu em caldas com alto fosfato e força iônica elevada</t>
  </si>
  <si>
    <t>Pré-diluir; adicionar antes dos micronutrientes e antes do ajuste final de pH.</t>
  </si>
  <si>
    <t>Pode quelar traços metálicos que estabilizam certos aditivos; monitorar compatibilidade com biocidas/antiespumantes.</t>
  </si>
  <si>
    <t>Quando EDTA não segura Fe/Mn em sistemas agressivos, DTPA normalmente estabiliza sem exigir manobras complexas.</t>
  </si>
  <si>
    <t>Quelante Multidentado</t>
  </si>
  <si>
    <t>Complexação octaédrica com 8 pontos de coordenação</t>
  </si>
  <si>
    <t>Fe, Cu, Zn, Mn</t>
  </si>
  <si>
    <t>4.0 – 10.5</t>
  </si>
  <si>
    <t>pH ajustado para 7.0 antes da adição</t>
  </si>
  <si>
    <t>Precipita em meio muito ácido (pH&lt;3)</t>
  </si>
  <si>
    <t>Estabilidade excepcional - quelante de 5ª geração</t>
  </si>
  <si>
    <t>EDDHA</t>
  </si>
  <si>
    <t>Super-Quelante Sintético (alta estabilidade em pH alto)</t>
  </si>
  <si>
    <t>Forma complexos extremamente estáveis (especialmente com Fe³⁺), suprimindo a formação de hidróxidos/fosfatos insolúveis.</t>
  </si>
  <si>
    <t>Ferro em pH alcalino + presença de carbonatos/fosfatos</t>
  </si>
  <si>
    <t>7.0 – 11.5</t>
  </si>
  <si>
    <t>Hidratar/solubilizar bem antes de elevar força iônica; usar agitação forte e tempo de maturação.</t>
  </si>
  <si>
    <t>Risco de resíduos/turbidez se mal solubilizado; ordem de adição incorreta pode gerar 'grumos' persistentes.</t>
  </si>
  <si>
    <t>Mantém Fe solúvel onde EDTA/DTPA falham — é o 'seguro' para pH alto e meios complexos.</t>
  </si>
  <si>
    <t>Quelante Sintético Ultra-forte</t>
  </si>
  <si>
    <t>Complexação de ferro em pH extremamente alcalino (8-11)</t>
  </si>
  <si>
    <t>Dissolver em água morna (40°C) sob agitação vigorosa</t>
  </si>
  <si>
    <t>Precipita com Ca²⁺ &gt;500ppm; Incompatível com fosfatos</t>
  </si>
  <si>
    <t>Quelante mais estável em pH alcalino - resiste hidrólise</t>
  </si>
  <si>
    <t>EDDS</t>
  </si>
  <si>
    <t>Quelante Biodegradável</t>
  </si>
  <si>
    <t>Complexação com degradação controlada por enzimas</t>
  </si>
  <si>
    <t>pH neutro obrigatório para estabilidade</t>
  </si>
  <si>
    <t>Instável &gt;pH 8.5</t>
  </si>
  <si>
    <t>Racemato S,S - biodegradação em 28 dias</t>
  </si>
  <si>
    <t>EDTA</t>
  </si>
  <si>
    <t>Complexação de cátions (Ca/Mg/Fe/Mn/Cu/Zn), reduzindo atividade livre e deslocando equilíbrios de precipitação.</t>
  </si>
  <si>
    <t>Dureza (Ca/Mg) + microelementos em presença de fosfatos/carbonatos</t>
  </si>
  <si>
    <t>6.5 – 11.0</t>
  </si>
  <si>
    <t>Adicionar no início como 'condicionador' de água; permitir tempo de complexação antes de fosfatos/micros.</t>
  </si>
  <si>
    <t>Pode solubilizar metais de equipamentos/ligas; pode desbalancear complexos metálicos já formulados.</t>
  </si>
  <si>
    <t>É o sequestrante robusto que resolve a maior parte de precipitações por dureza com boa previsibilidade.</t>
  </si>
  <si>
    <t>GLDA</t>
  </si>
  <si>
    <t>Super-Quelante Sintético (tolerante a salinidade)</t>
  </si>
  <si>
    <t>Sequestra Ca/Mg/metais reduzindo atividade livre e prevenindo nucleação/precipitação por dureza.</t>
  </si>
  <si>
    <t>Água dura + fosfatos + micros em alta força iônica</t>
  </si>
  <si>
    <t>Adicionar no início; usar como 'buffer' de compatibilidade antes da carga pesada de sais.</t>
  </si>
  <si>
    <t>Pode aumentar corrosividade por complexar filmes passivos; checar materiais (aço/latão).</t>
  </si>
  <si>
    <t>Excelente equilíbrio de força, tolerância a sais e previsibilidade em caldas muito carregadas.</t>
  </si>
  <si>
    <t>GluNa</t>
  </si>
  <si>
    <t>Complexante Natural</t>
  </si>
  <si>
    <t>Quelação suave com grupos hidroxila múltiplos</t>
  </si>
  <si>
    <t>5.5 – 8.0</t>
  </si>
  <si>
    <t>Dissolver completamente antes de ajustar pH</t>
  </si>
  <si>
    <t>Degrada lentamente &gt;pH 9.0</t>
  </si>
  <si>
    <t>Biodegradável - quelatação reversível controlada</t>
  </si>
  <si>
    <t>Super-Quelante Sintético (ultra-forte)</t>
  </si>
  <si>
    <t>Complexação de Fe³⁺ com altíssima constante de estabilidade; reduz drasticamente a atividade livre do metal.</t>
  </si>
  <si>
    <t>Ferro em condições alcalinas extremamente desafiadoras</t>
  </si>
  <si>
    <t>7.0 – 12.0</t>
  </si>
  <si>
    <t>Pré-misturar e solubilizar completamente; manter agitação prolongada para evitar microprecipitados.</t>
  </si>
  <si>
    <t>Disponibilidade/custo; incompatibilidades aparecem se houver salinidade muito alta sem boa solubilização prévia.</t>
  </si>
  <si>
    <t>É o 'topo' para estabilidade de Fe em pH alto: quando precisa de margem máxima, HBED entrega.</t>
  </si>
  <si>
    <t>MGDA</t>
  </si>
  <si>
    <t>Complexa Ca/Mg e metais de transição, reduzindo supersaturação efetiva de sais críticos.</t>
  </si>
  <si>
    <t>Controle de dureza e estabilização geral (Ca/Mg) em cargas altas de sais</t>
  </si>
  <si>
    <t>Adicionar cedo; bom para 'limpar' Ca/Mg antes de fosfatos; ajustar pH no final.</t>
  </si>
  <si>
    <t>Pode interferir em sistemas que dependem de metais traço (catalisadores/estabilizantes).</t>
  </si>
  <si>
    <t>Costuma ser altamente efetivo para Ca/Mg com boa estabilidade em meios salinos.</t>
  </si>
  <si>
    <t>CitAc</t>
  </si>
  <si>
    <t>Acidulante Quelante</t>
  </si>
  <si>
    <t>Redução pH + complexação simultânea</t>
  </si>
  <si>
    <t>Micros metálicos</t>
  </si>
  <si>
    <t>1.5 – 6.0</t>
  </si>
  <si>
    <t>Dissolver primeiro, depois ajustar pH</t>
  </si>
  <si>
    <t>Efervescência violenta com carbonatos</t>
  </si>
  <si>
    <t>Grau farmacêutico - sem metais pesados</t>
  </si>
  <si>
    <t>Quelante Sintético Ultra-Forte</t>
  </si>
  <si>
    <t>Forma complexos altamente estáveis com micronutrientes</t>
  </si>
  <si>
    <t>Fe, Mn, Zn, Cu</t>
  </si>
  <si>
    <t>3.5 – 10.0</t>
  </si>
  <si>
    <t>Pré-dissolver em água morna antes de adicionar</t>
  </si>
  <si>
    <t>Pode competir com outros quelantes</t>
  </si>
  <si>
    <t>Estabilidade excepcional mesmo em pH alcalino</t>
  </si>
  <si>
    <t>Estabiliza íons metálicos em pH alcalino extremo</t>
  </si>
  <si>
    <t>Fe, Mn</t>
  </si>
  <si>
    <t>6.0 – 11.0</t>
  </si>
  <si>
    <t>Adicionar sob agitação constante</t>
  </si>
  <si>
    <t>Incompatível com ácidos fortes</t>
  </si>
  <si>
    <t>Altamente seletivo para ferro em pH elevado</t>
  </si>
  <si>
    <t>NTA</t>
  </si>
  <si>
    <t>Quelante Sintético</t>
  </si>
  <si>
    <t>Complexa íons metálicos e previne precipitação</t>
  </si>
  <si>
    <t>Fe, Zn, Cu, Mn</t>
  </si>
  <si>
    <t>Adicionar sob agitação</t>
  </si>
  <si>
    <t>Potencial carcinogênico em altas doses</t>
  </si>
  <si>
    <t>Alta capacidade complexante em pH neutro</t>
  </si>
  <si>
    <t>Poliol / Umectante / Co-solvente</t>
  </si>
  <si>
    <t>Reduz a atividade de água, atua como crioprotetor moderado e humectante, diminuindo a tendência de cristalização e ressecamento em caldas foliares concentradas.</t>
  </si>
  <si>
    <t>Caldas foliares de alta concentração (N, K e ureia), formulações com sais higroscópicos e misturas sensíveis à cristalização a frio.</t>
  </si>
  <si>
    <t>Adicionar sob agitação moderada após dissolução dos sais principais; pode ser usado como parte da fase contínua. Avaliar viscosidade final e, se necessário, ajustar com co-solventes menos viscosos. Garantir preservação microbiológica.</t>
  </si>
  <si>
    <t>Produto altamente higroscópico e nutritivo: risco de crescimento microbiano se não houver conservante. Em doses muito altas pode elevar demais a viscosidade e aumentar o risco de fitotoxicidade osmótica em aplicações foliares.</t>
  </si>
  <si>
    <t>Poliol clássico para controle de atividade de água em fertilizantes líquidos: melhora estabilidade a frio, reduz cristalização e ainda contribui como umectante, com ampla disponibilidade industrial.</t>
  </si>
  <si>
    <t>Modelo de TDS industrial genérico (base Ingredion/Cargill/Roquette) adaptado para uso em fertilizantes foliares.</t>
  </si>
  <si>
    <t>#</t>
  </si>
  <si>
    <t>Anexo</t>
  </si>
  <si>
    <t>Função Principal</t>
  </si>
  <si>
    <t>Nutrientes Compatíveis</t>
  </si>
  <si>
    <t>Dose Máx. (%)</t>
  </si>
  <si>
    <t>Modo de Aplicação</t>
  </si>
  <si>
    <t>Alertas de Incompatibilidade</t>
  </si>
  <si>
    <t>Observações / Notas Técnicas</t>
  </si>
  <si>
    <t xml:space="preserve">  Anexo II  —  Ácidos Aminopolicarboxílicos</t>
  </si>
  <si>
    <t>II</t>
  </si>
  <si>
    <t>Ácidos Aminopolicarboxílicos</t>
  </si>
  <si>
    <t>Aminoácidos naturais (albuminas glicina etc.)</t>
  </si>
  <si>
    <t>—</t>
  </si>
  <si>
    <t>Quelante / Complexante</t>
  </si>
  <si>
    <t>Fe, Cu, Zn, Mn, Ca, Mg</t>
  </si>
  <si>
    <t>4.0-8.0</t>
  </si>
  <si>
    <t>Foliar / Fertirrigação</t>
  </si>
  <si>
    <t>Origem natural; compatível com agricultura orgânica</t>
  </si>
  <si>
    <t>Ácido D-L aspártico N-(1-2 dicarboxietil) tetra sódico (Ácido iminodissuccínico)</t>
  </si>
  <si>
    <t>IDHA</t>
  </si>
  <si>
    <t>Quelante</t>
  </si>
  <si>
    <t>4.0-9.0</t>
  </si>
  <si>
    <t>Biodegradável; boa opção sustentável</t>
  </si>
  <si>
    <t>Ácido Etilenodiaminotetraacético</t>
  </si>
  <si>
    <t>4.0-7.0</t>
  </si>
  <si>
    <t>Perde eficiência em pH &gt; 7 com Fe</t>
  </si>
  <si>
    <t>Quelante mais utilizado em fertilizantes líquidos</t>
  </si>
  <si>
    <t>Ácido Hidroxietiletilenodiamino-triacético</t>
  </si>
  <si>
    <t>HEDTA</t>
  </si>
  <si>
    <t>4.0-7.5</t>
  </si>
  <si>
    <t>Boa estabilidade em faixa de pH mais ampla que EDTA</t>
  </si>
  <si>
    <t>Ácido L-glutâmico N,N-diacético (GLDA)</t>
  </si>
  <si>
    <t>Fe, Zn, Cu, Mn, Ca, Mg</t>
  </si>
  <si>
    <t>4.0–9.0</t>
  </si>
  <si>
    <t>Quelante biodegradável de nova geração; alternativa sustentável ao EDTA</t>
  </si>
  <si>
    <t>Ácido N-N-di(2-hidroxibenzil)etilenodiamina-N-N-di(acético)</t>
  </si>
  <si>
    <t>6.0-9.0</t>
  </si>
  <si>
    <t>Fertirrigação / Solo</t>
  </si>
  <si>
    <t>Alta afinidade pelo Fe</t>
  </si>
  <si>
    <t>Ácido Nitrilotriacético</t>
  </si>
  <si>
    <t>Fe, Cu, Zn, Mn, Co, Ni</t>
  </si>
  <si>
    <t>Quelante de amplo espectro</t>
  </si>
  <si>
    <t>Ácido Propilenodiaminotetraacético</t>
  </si>
  <si>
    <t>PDTA</t>
  </si>
  <si>
    <t>Ácido dietileno-triaminopentacético</t>
  </si>
  <si>
    <t>Indicado para Fe em pH até 7.5</t>
  </si>
  <si>
    <t>Ácido etilenodiamino-N(orto-hidroxifenil)acético-N(para-hidroxifenil)acético</t>
  </si>
  <si>
    <t>[o,p] EDDHA</t>
  </si>
  <si>
    <t>6.5-9.0</t>
  </si>
  <si>
    <t>Alternativa ao [o-o] EDDHA</t>
  </si>
  <si>
    <t>Ácido etilenodiamino-N(orto-hidroximetilfenil)acético-N(para-hidroximetilfenil)acético</t>
  </si>
  <si>
    <t>[o,p] EDDHMA</t>
  </si>
  <si>
    <t>Ácido etilenodiamino-N-N-di(2-hidroxi5-sulfofenil)acético</t>
  </si>
  <si>
    <t>EDDHSA</t>
  </si>
  <si>
    <t>Ácido etilenodiamino-N-N-di(5-carboxi2-hidroxifenil)acético</t>
  </si>
  <si>
    <t>EDDCHA</t>
  </si>
  <si>
    <t>Ácido etilenodiamino-N-N-di(orto-hidroxifenil)acético</t>
  </si>
  <si>
    <t>[o,o] EDDHA</t>
  </si>
  <si>
    <t>7.0-9.0</t>
  </si>
  <si>
    <t>Melhor opção para Fe em pH alto (&gt; 7.0)</t>
  </si>
  <si>
    <t>Ácido etilenodiamino-N-N-di(orto-hidroximetilfenil)acético</t>
  </si>
  <si>
    <t>[o,o] EDDHMA</t>
  </si>
  <si>
    <t>Ácido metilglicinodiacético (MGDA)</t>
  </si>
  <si>
    <t>Biodegradável; alta eficiência em pH amplo</t>
  </si>
  <si>
    <t xml:space="preserve">  Anexo II  —  Aminas e Poliaminas</t>
  </si>
  <si>
    <t>Aminas e Poliaminas</t>
  </si>
  <si>
    <t>Dietilenotriamina</t>
  </si>
  <si>
    <t>Complexante</t>
  </si>
  <si>
    <t>Cu, Zn, Fe</t>
  </si>
  <si>
    <t>Etilenodiamina</t>
  </si>
  <si>
    <t>Cu, Zn, Ni</t>
  </si>
  <si>
    <t>Corrosivo em alta concentração;  manusear com EPI</t>
  </si>
  <si>
    <t>Tetraetilenopentamina</t>
  </si>
  <si>
    <t>Cu, Ni, Zn</t>
  </si>
  <si>
    <t>Trietilenotetramina</t>
  </si>
  <si>
    <t>Cu, Zn</t>
  </si>
  <si>
    <t xml:space="preserve">  Anexo II  —  Ácidos Hidroxicarboxílicos</t>
  </si>
  <si>
    <t>Ácidos Hidroxicarboxílicos</t>
  </si>
  <si>
    <t>Ácido Cítrico</t>
  </si>
  <si>
    <t>Complexante / Acidificante / Estabilizante</t>
  </si>
  <si>
    <t>Ca, Fe, Mg, Zn, Cu, Mn</t>
  </si>
  <si>
    <t>3.5-6.5</t>
  </si>
  <si>
    <t>Pode precipitar com Ca em pH &gt; 6.5</t>
  </si>
  <si>
    <t>Muito utilizado para ajuste de pH e estabilidade</t>
  </si>
  <si>
    <t>Ácido Glucônico</t>
  </si>
  <si>
    <t>Complexante / Estabilizante</t>
  </si>
  <si>
    <t>Fe, Cu, Zn, Ca, Mg</t>
  </si>
  <si>
    <t>Boa estabilidade em ampla faixa de pH</t>
  </si>
  <si>
    <t>Ácido Heptaglucônico</t>
  </si>
  <si>
    <t>Maior cadeia que glucônico; melhor estabilidade</t>
  </si>
  <si>
    <t>Ácido Tartárico</t>
  </si>
  <si>
    <t>Ca, Fe, Mn</t>
  </si>
  <si>
    <t>Pode precipitar com Ca em pH &gt; 7</t>
  </si>
  <si>
    <t>Melhora solubilidade de micronutrientes</t>
  </si>
  <si>
    <t xml:space="preserve">  Anexo II  —  Compostos Hidroxiaminas</t>
  </si>
  <si>
    <t>Compostos Hidroxiaminas</t>
  </si>
  <si>
    <t>Dietanolamina</t>
  </si>
  <si>
    <t>Complexante / Alcalinizante</t>
  </si>
  <si>
    <t>Fe, Cu</t>
  </si>
  <si>
    <t>6.0-8.0</t>
  </si>
  <si>
    <t>Corrosivo em alta concentração</t>
  </si>
  <si>
    <t>Monoetanolamina</t>
  </si>
  <si>
    <t>Não misturar com ácidos fortes</t>
  </si>
  <si>
    <t>Usado também para ajuste de pH</t>
  </si>
  <si>
    <t>N-dihidroxietilglicina</t>
  </si>
  <si>
    <t>N-hidroxietiletilenodiamina</t>
  </si>
  <si>
    <t>Trietanolamina</t>
  </si>
  <si>
    <t>Também atua como surfactante suave</t>
  </si>
  <si>
    <t xml:space="preserve">  Anexo II  —  Polióis</t>
  </si>
  <si>
    <t>Polióis</t>
  </si>
  <si>
    <t>Dulcitol</t>
  </si>
  <si>
    <t>Ca, B</t>
  </si>
  <si>
    <t>Glicerina</t>
  </si>
  <si>
    <t>Complexante / Anticongelante / Umectante</t>
  </si>
  <si>
    <t>Ca, Mg, B</t>
  </si>
  <si>
    <t>Evita cristalização; melhora viscosidade</t>
  </si>
  <si>
    <t>Manitol</t>
  </si>
  <si>
    <t>Complexante / Estabilizante / Anticongelante</t>
  </si>
  <si>
    <t>Similar ao sorbitol</t>
  </si>
  <si>
    <t>Sorbitol</t>
  </si>
  <si>
    <t>Melhora absorção foliar de Ca e B</t>
  </si>
  <si>
    <t xml:space="preserve">  Anexo II  —  Compostos Naturais</t>
  </si>
  <si>
    <t>Compostos Naturais</t>
  </si>
  <si>
    <t>Betaína</t>
  </si>
  <si>
    <t>Complexante / Umectante / Osmoprotegente</t>
  </si>
  <si>
    <t>Ca, Mg, K</t>
  </si>
  <si>
    <t>Presente em extratos de algas; aumenta resistência a estresse hídrico</t>
  </si>
  <si>
    <t>D-aminoácidos</t>
  </si>
  <si>
    <t>Aminoácidos de configuração D; quelação suave e bioestimulação</t>
  </si>
  <si>
    <t>Extratos de Algas</t>
  </si>
  <si>
    <t>Complexante / Bioestimulante</t>
  </si>
  <si>
    <t>N, K, Ca, Mg, Fe, Zn</t>
  </si>
  <si>
    <t>Melhora absorção foliar</t>
  </si>
  <si>
    <t>Lignosulfonatos</t>
  </si>
  <si>
    <t>Complexante / Estabilizante / Dispersante</t>
  </si>
  <si>
    <t>Origem natural; melhora dispersão e estabilidade</t>
  </si>
  <si>
    <t>Poliflavonóides</t>
  </si>
  <si>
    <t>Origem natural</t>
  </si>
  <si>
    <t>Quitosana</t>
  </si>
  <si>
    <t>Complexante / Bioestimulante / Antifúngico</t>
  </si>
  <si>
    <t>4.0–7.0</t>
  </si>
  <si>
    <t>Insolúvel em pH &gt; 7; diluir em meio ácido</t>
  </si>
  <si>
    <t>Origem natural; elicitor de defesa vegetal</t>
  </si>
  <si>
    <t>Substâncias Húmicas</t>
  </si>
  <si>
    <t>5.0-8.0</t>
  </si>
  <si>
    <t>Foliar / Fertirrigação / Solo</t>
  </si>
  <si>
    <t>Melhora absorção e estabilidade</t>
  </si>
  <si>
    <t xml:space="preserve">  Anexo III  —  Acidificante</t>
  </si>
  <si>
    <t>III</t>
  </si>
  <si>
    <t>Acidificante</t>
  </si>
  <si>
    <t>Ácido 5-sulfosalicílico</t>
  </si>
  <si>
    <t>2.0-5.0</t>
  </si>
  <si>
    <t>Não misturar com bases fortes</t>
  </si>
  <si>
    <t>Ajuste fino de pH</t>
  </si>
  <si>
    <t>Ácido Acético</t>
  </si>
  <si>
    <t>3.0-6.0</t>
  </si>
  <si>
    <t>Odor forte; usar em concentração baixa</t>
  </si>
  <si>
    <t>Ácido Adípico</t>
  </si>
  <si>
    <t>Ácido Clorídrico</t>
  </si>
  <si>
    <t>1.0-4.0</t>
  </si>
  <si>
    <t>Fertirrigação</t>
  </si>
  <si>
    <t>Altamente corrosivo; pode introduzir Cl na formulação</t>
  </si>
  <si>
    <t>Acidificante / Estabilizante</t>
  </si>
  <si>
    <t>Ca, Mg, Fe, Mn, Zn, Cu</t>
  </si>
  <si>
    <t>Mais utilizado para ajuste de pH em fertilizantes líquidos</t>
  </si>
  <si>
    <t>Ácido Fosforoso</t>
  </si>
  <si>
    <t>Não misturar com oxidantes</t>
  </si>
  <si>
    <t>Também fonte de P</t>
  </si>
  <si>
    <t>Corrosivo; manusear com EPI</t>
  </si>
  <si>
    <t>Também fonte de P; muito usado em fertirrigação</t>
  </si>
  <si>
    <t>Ca, Fe, Zn, Cu, Mn</t>
  </si>
  <si>
    <t>Alta biodegradabilidade; estabiliza micronutrientes</t>
  </si>
  <si>
    <t>Ácido Nitriloacético</t>
  </si>
  <si>
    <t>Ácido Oxinesulfônico</t>
  </si>
  <si>
    <t>Ácido Salicílico</t>
  </si>
  <si>
    <t>Ácido Sulfúrico</t>
  </si>
  <si>
    <t>Altamente corrosivo; manusear com EPI</t>
  </si>
  <si>
    <t>Uso cauteloso; ajuste de pH de água de irrigação</t>
  </si>
  <si>
    <t>Ácido ou Extrato Pirolenhoso</t>
  </si>
  <si>
    <t xml:space="preserve">  Anexo III  —  Alcalinizante</t>
  </si>
  <si>
    <t>Alcalinizante</t>
  </si>
  <si>
    <t>Fe, Zn, Mn</t>
  </si>
  <si>
    <t>Fluidos</t>
  </si>
  <si>
    <t>Hidróxido de Sódio</t>
  </si>
  <si>
    <t>6.0-10.0</t>
  </si>
  <si>
    <t>Corrosivo; cuidado com precipitação de micronutrientes em pH alto</t>
  </si>
  <si>
    <t>Ajuste rápido de pH</t>
  </si>
  <si>
    <t>Fe, Zn, Mn, Cu</t>
  </si>
  <si>
    <t>Ajuste de pH para cima</t>
  </si>
  <si>
    <t xml:space="preserve">  Anexo III  —  Tamponante</t>
  </si>
  <si>
    <t>Tamponante</t>
  </si>
  <si>
    <t>Fluidos e sólidos solúveis</t>
  </si>
  <si>
    <t>Citrato de Sódio</t>
  </si>
  <si>
    <t>Tripolifosfato de Sódio</t>
  </si>
  <si>
    <t>Mantém pH estável durante armazenamento</t>
  </si>
  <si>
    <t>Ácido fosfórico (tampão)</t>
  </si>
  <si>
    <t>Tamponante / Acidificante</t>
  </si>
  <si>
    <t>2.0–4.5</t>
  </si>
  <si>
    <t>Fluidos / Sólidos solúveis</t>
  </si>
  <si>
    <t>Corrosivo; usar EPI</t>
  </si>
  <si>
    <t>Além de tamponar, fornece P como nutriente</t>
  </si>
  <si>
    <t xml:space="preserve">  Anexo III  —  Anticongelante</t>
  </si>
  <si>
    <t>Anticongelante</t>
  </si>
  <si>
    <t>Evita congelamento de soluções</t>
  </si>
  <si>
    <t>Polietilenoglicol</t>
  </si>
  <si>
    <t>Polissacarídeos</t>
  </si>
  <si>
    <t>Propilenoglicol</t>
  </si>
  <si>
    <t xml:space="preserve">  Anexo III  —  Anticristalizante</t>
  </si>
  <si>
    <t>Anticristalizante</t>
  </si>
  <si>
    <t>Evita formação de cristais na solução</t>
  </si>
  <si>
    <t>Polissacarídeo</t>
  </si>
  <si>
    <t>Surfactante Aniônico</t>
  </si>
  <si>
    <t>Surfactante não iônico</t>
  </si>
  <si>
    <t xml:space="preserve">  Anexo III  —  Antiempedramento</t>
  </si>
  <si>
    <t>Antiempedramento</t>
  </si>
  <si>
    <t>Estearato de cálcio</t>
  </si>
  <si>
    <t>Fertilizantes sólidos</t>
  </si>
  <si>
    <t>Agente antiempedramento para granulados; melhora fluidez</t>
  </si>
  <si>
    <t xml:space="preserve">  Anexo III  —  Antievaporante</t>
  </si>
  <si>
    <t>Antievaporante</t>
  </si>
  <si>
    <t>Acrilatos</t>
  </si>
  <si>
    <t>Fluidos foliares</t>
  </si>
  <si>
    <t>CMC (Carboximetilcelulose)</t>
  </si>
  <si>
    <t>Antievaporante / Espessante</t>
  </si>
  <si>
    <t>Copolímeros poliacrilamida</t>
  </si>
  <si>
    <t>Goma Guar</t>
  </si>
  <si>
    <t>Goma Xantana</t>
  </si>
  <si>
    <t>Siliconados</t>
  </si>
  <si>
    <t>Óleo vegetal</t>
  </si>
  <si>
    <t>Antievaporante / Protetor de gotas</t>
  </si>
  <si>
    <t>Reduz evaporação das gotas de pulverização</t>
  </si>
  <si>
    <t xml:space="preserve">  Anexo III  —  Antiespumante</t>
  </si>
  <si>
    <t>Antiespumante</t>
  </si>
  <si>
    <t>Dimetilpolisiloxano (Silicone)</t>
  </si>
  <si>
    <t>PDMS</t>
  </si>
  <si>
    <t>Fluidos em geral</t>
  </si>
  <si>
    <t>Não misturar com tensoativos catiônicos</t>
  </si>
  <si>
    <t>Controla espuma em formulações líquidas e suspensões</t>
  </si>
  <si>
    <t>Polipropileno glicol</t>
  </si>
  <si>
    <t>PPG</t>
  </si>
  <si>
    <t>Antiespumante não silicone para formulações orgânicas</t>
  </si>
  <si>
    <t xml:space="preserve">  Anexo III  —  Dispersante / Emulsificante / Tensoativo</t>
  </si>
  <si>
    <t>Dispersante / Emulsificante / Tensoativo</t>
  </si>
  <si>
    <t>Alquil poliglicosídeo (APG)</t>
  </si>
  <si>
    <t>Dispersante / Emulsificante</t>
  </si>
  <si>
    <t>Surfactante não iônico de origem vegetal; baixa toxicidade</t>
  </si>
  <si>
    <t>Bentonita</t>
  </si>
  <si>
    <t>Dispersante</t>
  </si>
  <si>
    <t>Concentração máxima 10% p/p</t>
  </si>
  <si>
    <t>Dispersante / Espessante</t>
  </si>
  <si>
    <t>HMC (Hidroximetilcelulose)</t>
  </si>
  <si>
    <t>LASS (Laurilsulfonato de Sódio)</t>
  </si>
  <si>
    <t>Tensoativo Aniônico</t>
  </si>
  <si>
    <t>Lignossulfonato</t>
  </si>
  <si>
    <t>Dispersante / Estabilizante</t>
  </si>
  <si>
    <t>Polisorbato</t>
  </si>
  <si>
    <t>Emulsificante</t>
  </si>
  <si>
    <t>Mantém dispersão homogênea da solução</t>
  </si>
  <si>
    <t>Ácido Etidrônico</t>
  </si>
  <si>
    <t>Inibe precipitação de sais</t>
  </si>
  <si>
    <t>Éster de sacarose</t>
  </si>
  <si>
    <t>4.0–8.0</t>
  </si>
  <si>
    <t>Foliar</t>
  </si>
  <si>
    <t>Emulsificante natural; melhora espalhabilidade foliar</t>
  </si>
  <si>
    <t xml:space="preserve">  Anexo III  —  Espessante / Suspensor</t>
  </si>
  <si>
    <t>Espessante / Suspensor</t>
  </si>
  <si>
    <t>Espessante</t>
  </si>
  <si>
    <t>Concentração máxima 20% p/p</t>
  </si>
  <si>
    <t>Gelatina</t>
  </si>
  <si>
    <t>Pode precipitar em pH extremo</t>
  </si>
  <si>
    <t>Aumenta viscosidade; reduz sedimentação</t>
  </si>
  <si>
    <t>Silicato de Sódio</t>
  </si>
  <si>
    <t>Espessante / Estabilizante</t>
  </si>
  <si>
    <t>7.0-10.0</t>
  </si>
  <si>
    <t>Concentração máxima 20% p/p; pode precipitar micronutrientes em pH alto</t>
  </si>
  <si>
    <t>Sílica</t>
  </si>
  <si>
    <t xml:space="preserve">  Anexo III  —  Estabilizante / Conservante</t>
  </si>
  <si>
    <t>Estabilizante / Conservante</t>
  </si>
  <si>
    <t>Estabilizante / Complexante</t>
  </si>
  <si>
    <t>Fertilizantes em geral</t>
  </si>
  <si>
    <t>Estabilizante / Anticongelante</t>
  </si>
  <si>
    <t>Ca, B, Zn</t>
  </si>
  <si>
    <t>Similar ao sorbitol; comum em fertirrigação</t>
  </si>
  <si>
    <t>Melaço de Cana de Açúcar</t>
  </si>
  <si>
    <t>Estabilizante</t>
  </si>
  <si>
    <t>Fe, Mn, Zn, Cu, Ca, Mg</t>
  </si>
  <si>
    <t>Melhoram disponibilidade e absorção de nutrientes no solo</t>
  </si>
  <si>
    <t>Estabilizante / Dispersante</t>
  </si>
  <si>
    <t>Ácido Ascórbico</t>
  </si>
  <si>
    <t>Estabilizante / Antioxidante</t>
  </si>
  <si>
    <t>Evita oxidação de Fe2+ para Fe3+</t>
  </si>
  <si>
    <t>Muito usado em fertilizantes líquidos foliares</t>
  </si>
  <si>
    <t>Ca, Fe, Zn, Mn</t>
  </si>
  <si>
    <t>Similar ao glucônico; boa estabilidade em ampla faixa de pH</t>
  </si>
  <si>
    <t>Ácido ascórbico</t>
  </si>
  <si>
    <t>3.5–6.0</t>
  </si>
  <si>
    <t>Instável em pH &gt; 7 e luz UV</t>
  </si>
  <si>
    <t>Previne oxidação do Fe²⁺ → Fe³⁺ em formulações foliares</t>
  </si>
  <si>
    <t>Ácido sórbico e seus sais</t>
  </si>
  <si>
    <t>3.5–6.5</t>
  </si>
  <si>
    <t>Foliar / Fluidos</t>
  </si>
  <si>
    <t>Conservante antimicrobiano para formulações fluídas</t>
  </si>
  <si>
    <t xml:space="preserve">  Anexo III  —  Umectante / Emoliente</t>
  </si>
  <si>
    <t>Umectante / Emoliente</t>
  </si>
  <si>
    <t>Glicerol</t>
  </si>
  <si>
    <t>Umectante</t>
  </si>
  <si>
    <t>Mantém hidratação da fase sólida em solução</t>
  </si>
  <si>
    <t>Umectante / Emulsificante</t>
  </si>
  <si>
    <t>Ca, Mg, Zn, B</t>
  </si>
  <si>
    <t>Muito usado em formulações foliares com Ca e B</t>
  </si>
  <si>
    <t xml:space="preserve">  Anexo III  —  Inibidor de Urease</t>
  </si>
  <si>
    <t>Inibidor de Urease</t>
  </si>
  <si>
    <t>NBPT (N-(n-butil tiofosfórico triamida)</t>
  </si>
  <si>
    <t>Solo / Fertirrigação</t>
  </si>
  <si>
    <t>Reduz perdas de N por volatilização de NH3; usar com ureia</t>
  </si>
  <si>
    <t>NBPT + NPPT</t>
  </si>
  <si>
    <t>Combinação de dois inibidores; maior eficiência</t>
  </si>
  <si>
    <t xml:space="preserve">  Anexo III  —  Melhorador de Absorção Foliar</t>
  </si>
  <si>
    <t>Melhorador de Absorção Foliar</t>
  </si>
  <si>
    <t>Frutose</t>
  </si>
  <si>
    <t>Melhorador de absorção foliar</t>
  </si>
  <si>
    <t>Glicose</t>
  </si>
  <si>
    <t>Favorece absorção foliar e protege contra injúrias</t>
  </si>
  <si>
    <t>Sacarose</t>
  </si>
  <si>
    <t>rank</t>
  </si>
  <si>
    <t>categoria</t>
  </si>
  <si>
    <t>insumo</t>
  </si>
  <si>
    <t>nutrientes</t>
  </si>
  <si>
    <t>teores_pct</t>
  </si>
  <si>
    <t>CAT1_recomendados</t>
  </si>
  <si>
    <t>P2O5:60.0</t>
  </si>
  <si>
    <t>K2O:50.0</t>
  </si>
  <si>
    <t>Ca:24.0</t>
  </si>
  <si>
    <t>B:17.0</t>
  </si>
  <si>
    <t>Mg:10.0</t>
  </si>
  <si>
    <t>Mo|N</t>
  </si>
  <si>
    <t>Mo:52.0|N:5.0</t>
  </si>
  <si>
    <t>Mo:39.0</t>
  </si>
  <si>
    <t>Zn:24.0</t>
  </si>
  <si>
    <t>Fe:23.0</t>
  </si>
  <si>
    <t>Cu:20.0</t>
  </si>
  <si>
    <t>K2O:20.0</t>
  </si>
  <si>
    <t>Mg|S</t>
  </si>
  <si>
    <t>Mg:15.0|S:20.0</t>
  </si>
  <si>
    <t>Fe:15.0</t>
  </si>
  <si>
    <t>N:10.0</t>
  </si>
  <si>
    <t>K2O|Mo</t>
  </si>
  <si>
    <t>K2O:27.0|Mo:28.0</t>
  </si>
  <si>
    <t>Mn:8.0</t>
  </si>
  <si>
    <t>Zn:8.0</t>
  </si>
  <si>
    <t>Co:7.0</t>
  </si>
  <si>
    <t>Ca:5.0</t>
  </si>
  <si>
    <t>Fe:4.0</t>
  </si>
  <si>
    <t>Ni:4.0</t>
  </si>
  <si>
    <t>Cu:3.0</t>
  </si>
  <si>
    <t>Mg:3.0</t>
  </si>
  <si>
    <t>K2O:42.0</t>
  </si>
  <si>
    <t>K2O:40.0</t>
  </si>
  <si>
    <t>K2O:38.0</t>
  </si>
  <si>
    <t>Cu:35.0</t>
  </si>
  <si>
    <t>Zn:28.0</t>
  </si>
  <si>
    <t>Mn:25.0</t>
  </si>
  <si>
    <t>Zn:25.0</t>
  </si>
  <si>
    <t>Co:23.0</t>
  </si>
  <si>
    <t>Mn:22.0</t>
  </si>
  <si>
    <t>Fe:18.0</t>
  </si>
  <si>
    <t>Mg:16.0</t>
  </si>
  <si>
    <t>Ca|P2O5</t>
  </si>
  <si>
    <t>Ca:10.0|P2O5:36.0</t>
  </si>
  <si>
    <t>P2O5 solúvel em CNA+água"; mínimo 60% solúvel em água</t>
  </si>
  <si>
    <t>Co:34.0</t>
  </si>
  <si>
    <t>Ca|P2O5|S</t>
  </si>
  <si>
    <t>Ca:15.0|P2O5:15.0|S:10.0</t>
  </si>
  <si>
    <t>Co|P2O5</t>
  </si>
  <si>
    <t>Co:41.0|P2O5:32.0</t>
  </si>
  <si>
    <t>Co teor total"; P2O5 solúvel em CNA+água</t>
  </si>
  <si>
    <t>N:25.0</t>
  </si>
  <si>
    <t>B:10.0</t>
  </si>
  <si>
    <t>N:82.0</t>
  </si>
  <si>
    <t>B|Zn</t>
  </si>
  <si>
    <t>B:14.0|Zn:29.0</t>
  </si>
  <si>
    <t>CAT2_intermediarios</t>
  </si>
  <si>
    <t>P2O5:18.0</t>
  </si>
  <si>
    <t>P2O5 total"; mínimo 14% solúvel em CNA+água</t>
  </si>
  <si>
    <t>Ca:28.0|P2O5:27.0</t>
  </si>
  <si>
    <t>P2O5 total"; mínimo 30% do total solúvel em ác. cítrico 2% (1:100)</t>
  </si>
  <si>
    <t>K2O|Si</t>
  </si>
  <si>
    <t>K2O:8.0|Si:25.0</t>
  </si>
  <si>
    <t>K2O total"; mínimo 1% solúvel em ác. cítrico 2% (1:100); Si total</t>
  </si>
  <si>
    <t>Fe|P2O5|Zn</t>
  </si>
  <si>
    <t>Fe:10.0|P2O5:20.0|Zn:3.0</t>
  </si>
  <si>
    <t>P2O5 total"; mínimo 18% P2O5 solúvel em CNA+água</t>
  </si>
  <si>
    <t>P2O5:5.0</t>
  </si>
  <si>
    <t>P2O5 total"; mínimo 15% do total solúvel em ác. cítrico 2% (1:100)</t>
  </si>
  <si>
    <t>S:95.0</t>
  </si>
  <si>
    <t>S:90.0</t>
  </si>
  <si>
    <t>S:50.0</t>
  </si>
  <si>
    <t>Ca|Mg|S</t>
  </si>
  <si>
    <t>Ca:8.0|Mg:6.0|S:1.2</t>
  </si>
  <si>
    <t>CAT3_dificeis</t>
  </si>
  <si>
    <t>K2O:66.0</t>
  </si>
  <si>
    <t>Zn:49.0</t>
  </si>
  <si>
    <t>Cu:48.0</t>
  </si>
  <si>
    <t>Co:42.0</t>
  </si>
  <si>
    <t>Fe:41.0</t>
  </si>
  <si>
    <t>Mn:40.0</t>
  </si>
  <si>
    <t>Ni:39.0</t>
  </si>
  <si>
    <t>Ca:32.0</t>
  </si>
  <si>
    <t>Mg:25.0</t>
  </si>
  <si>
    <t>Ca|Mg</t>
  </si>
  <si>
    <t>Ca:18.0|Mg:3.0</t>
  </si>
  <si>
    <t>K2O:71.0</t>
  </si>
  <si>
    <t>Ca:48.0</t>
  </si>
  <si>
    <t>Mg:35.0</t>
  </si>
  <si>
    <t>Ca:24.0|Mg:4.0</t>
  </si>
  <si>
    <t>CAT4_ultimo_caso</t>
  </si>
  <si>
    <t>Ca:64.0</t>
  </si>
  <si>
    <t>Mg:45.0</t>
  </si>
  <si>
    <t>Ca:32.0|Mg:6.0</t>
  </si>
  <si>
    <t>anexo</t>
  </si>
  <si>
    <t>grupo</t>
  </si>
  <si>
    <t>abreviatura</t>
  </si>
  <si>
    <t>funcao_principal</t>
  </si>
  <si>
    <t>nutrientes_compativeis</t>
  </si>
  <si>
    <t>faixa_ph_ideal</t>
  </si>
  <si>
    <t>dose_maxima_pct</t>
  </si>
  <si>
    <t>modo_aplicacao</t>
  </si>
  <si>
    <t>alerta_incompatibilidade</t>
  </si>
  <si>
    <t>BANCO DE DADOS — CATEGORIAS DE AÇÃO (LEITURA RÁPIDA)</t>
  </si>
  <si>
    <t>Dica</t>
  </si>
  <si>
    <t>Esta aba foi montada para leitura em tela. Use 'Master (Tabela)' para filtros/ordenação e rastreabilidade por fonte.</t>
  </si>
  <si>
    <t>DTPA Pentassódico 40% (Na5DTPA, solução)  (DTPA)</t>
  </si>
  <si>
    <t>Resumo</t>
  </si>
  <si>
    <t>Alvo: Fe/Mn/Zn/Cu em caldas com alto fosfato e força iônica elevada | pH: 5.5 – 10.5 | Dose Máx: 8.0% | Fonte(s): Banco Definitivo (base)</t>
  </si>
  <si>
    <t>Como funciona</t>
  </si>
  <si>
    <t>Operação / Setup</t>
  </si>
  <si>
    <t>Padrão Ouro</t>
  </si>
  <si>
    <t>Alerta</t>
  </si>
  <si>
    <t>DTPA-5Na (Pentasódico)  (DTPA)</t>
  </si>
  <si>
    <t>Alvo: Fe, Cu, Zn, Mn | pH: 4.0 – 10.5 | Dose Máx: 10.0% | Fonte(s): P&amp;D (claud)</t>
  </si>
  <si>
    <t>EDDHA 98% (quelante fenólico, pó)  (EDDHA)</t>
  </si>
  <si>
    <t>Alvo: Ferro em pH alcalino + presença de carbonatos/fosfatos | pH: 7.0 – 11.5 | Dose Máx: 5.0% | Fonte(s): Banco Definitivo (base)</t>
  </si>
  <si>
    <t>EDDHA-Fe 6% (Sequestrene 138)  (EDDHA)</t>
  </si>
  <si>
    <t>Alvo: Fe, Cu, Zn, Mn | pH: 4.0 – 11.0 | Dose Máx: 12.0% | Fonte(s): P&amp;D (claud)</t>
  </si>
  <si>
    <t>EDDS-3Na (Trisódico)  (EDDS)</t>
  </si>
  <si>
    <t>Alvo: Fe, Cu, Zn | pH: 4.0 – 8.0 | Dose Máx: 6.0% | Fonte(s): P&amp;D (claud)</t>
  </si>
  <si>
    <t>EDTA Tetrasódico 39% (Na4EDTA, solução aquosa)  (EDTA)</t>
  </si>
  <si>
    <t>Alvo: Dureza (Ca/Mg) + microelementos em presença de fosfatos/carbonatos | pH: 6.5 – 11.0 | Dose Máx: 10.0% | Fonte(s): Banco Definitivo (base)</t>
  </si>
  <si>
    <t>GLDA Tetrassódico 47% (solução aquosa)  (GLDA)</t>
  </si>
  <si>
    <t>Alvo: Água dura + fosfatos + micros em alta força iônica | pH: 4.0 – 11.0 | Dose Máx: 12.0% | Fonte(s): Banco Definitivo (base)</t>
  </si>
  <si>
    <t>Gluconato de Sódio  (GluNa)</t>
  </si>
  <si>
    <t>Alvo: Ca, Mg, Fe | pH: 5.5 – 8.0 | Dose Máx: 20.0% | Fonte(s): P&amp;D (claud)</t>
  </si>
  <si>
    <t>HBED 98% (quelante, pó)  (HBED)</t>
  </si>
  <si>
    <t>Alvo: Ferro em condições alcalinas extremamente desafiadoras | pH: 7.0 – 12.0 | Dose Máx: 3.0% | Fonte(s): Banco Definitivo (base)</t>
  </si>
  <si>
    <t>MGDA Trissódico 40% (solução aquosa)  (MGDA)</t>
  </si>
  <si>
    <t>Alvo: Controle de dureza e estabilização geral (Ca/Mg) em cargas altas de sais | pH: 4.0 – 11.0 | Dose Máx: 10.0% | Fonte(s): Banco Definitivo (base)</t>
  </si>
  <si>
    <t>Ácido Cítrico Anidro  (CitAc)</t>
  </si>
  <si>
    <t>Alvo: Micros metálicos | pH: 1.5 – 6.0 | Dose Máx: 25.0% | Fonte(s): P&amp;D (claud)</t>
  </si>
  <si>
    <t>Ácido Etilenodiamino-N,N'-bis(2-hidroxifenilacético) (EDDHA)  (EDDHA)</t>
  </si>
  <si>
    <t>Alvo: Fe, Mn, Zn, Cu | pH: 3.5 – 10.0 | Dose Máx: 1.0% | Fonte(s): P&amp;D (coop)</t>
  </si>
  <si>
    <t>Ácido N,N-Bis(2-hidroxibenzil)etilenodiamino-N,N-diacético (HBED)  (HBED)</t>
  </si>
  <si>
    <t>Alvo: Fe, Mn | pH: 6.0 – 11.0 | Dose Máx: 0.8% | Fonte(s): P&amp;D (coop)</t>
  </si>
  <si>
    <t>Ácido Nitrilotriacético (NTA)  (NTA)</t>
  </si>
  <si>
    <t>Alvo: Fe, Zn, Cu, Mn | pH: 3.5 – 8.5 | Dose Máx: 1.2% | Fonte(s): P&amp;D (coop)</t>
  </si>
  <si>
    <t>ATMP 50% (Aminotris(metileno)fosfônico, solução)  (ATMP)</t>
  </si>
  <si>
    <t>Alvo: Incrustação de CaCO3/CaSO4/Ca-fosfatos em meios concentrados | pH: 1.5 – 12.5 | Dose Máx: 8.0% | Fonte(s): Banco Definitivo (base)</t>
  </si>
  <si>
    <t>Copolímero Acrílico/Maleico 50% (sal sódico, solução)  (AA/MA)</t>
  </si>
  <si>
    <t>Alvo: Sais de Ca + fosfato/carbonato (quando traços de Ca aparecem) e turvação rápida | pH: 5.5 – 10.5 | Dose Máx: 5.0% | Fonte(s): Banco Definitivo (base)</t>
  </si>
  <si>
    <t>DTPMP 50% (fosfonato, solução)  (DTPMP)</t>
  </si>
  <si>
    <t>Alvo: Precipitação 'instantânea' em presença de Ca/Mg/Fe com fosfatos/sulfatos | pH: 1.5 – 12.5 | Dose Máx: 10.0% | Fonte(s): Banco Definitivo (base)</t>
  </si>
  <si>
    <t>HBED-Fe 4.5%  (HBED)</t>
  </si>
  <si>
    <t>Alvo: Fe, Cu, Zn | pH: 3.5 – 8.5 | Dose Máx: 8.0% | Fonte(s): P&amp;D (claud)</t>
  </si>
  <si>
    <t>PASP 40% (Ácido Poliaspártico, solução)  (PASP)</t>
  </si>
  <si>
    <t>Alvo: Estabilidade de longo prazo contra turvação/sedimentação em caldas densas | pH: 6.0 – 10.5 | Dose Máx: 4.0% | Fonte(s): Banco Definitivo (base)</t>
  </si>
  <si>
    <t>PBTC 50% (Ácido 2-fosfonobutanotricarboxílico, solução)  (PBTC)</t>
  </si>
  <si>
    <t>Alvo: Controle de CaCO3/Ca-fosfatos com melhor tolerância a condições oxidantes | pH: 2.0 – 12.0 | Dose Máx: 6.0% | Fonte(s): Banco Definitivo (base)</t>
  </si>
  <si>
    <t>PESA 40% (Ácido Poliepoxissuccínico, solução)  (PESA)</t>
  </si>
  <si>
    <t>Alvo: Controle de precipitados finos e incrustação em salinidade alta | pH: 5.0 – 10.5 | Dose Máx: 5.0% | Fonte(s): Banco Definitivo (base)</t>
  </si>
  <si>
    <t>PMA 40% (Ácido Polimaleico, solução)  (PMA)</t>
  </si>
  <si>
    <t>Alvo: Tendência a precipitar em frio (cristais finos) e scaling | pH: 4.5 – 10.0 | Dose Máx: 4.0% | Fonte(s): Banco Definitivo (base)</t>
  </si>
  <si>
    <t>Poliacrilato de Sódio LMW 45% (solução aquosa)  (Na-PAA)</t>
  </si>
  <si>
    <t>Alvo: Sais K/P/N em supersaturação + microcristais em frio | pH: 6.0 – 10.5 | Dose Máx: 6.0% | Fonte(s): Banco Definitivo (base)</t>
  </si>
  <si>
    <t>Carboximetilcelulose Na  (CMC-Na)</t>
  </si>
  <si>
    <t>Alvo: Fosfatos, nitratos | pH: 6.0 – 8.5 | Dose Máx: 3.0% | Fonte(s): P&amp;D (claud)</t>
  </si>
  <si>
    <t>Copolímero Acrilato-Maleato  (AA-MA)</t>
  </si>
  <si>
    <t>Alvo: Ca, Mg, Fe | pH: 6.0 – 9.0 | Dose Máx: 12.0% | Fonte(s): P&amp;D (claud)</t>
  </si>
  <si>
    <t>Copolímero Acrílico/AMPS 45% (sulfonado, solução)  (AA/AMPS)</t>
  </si>
  <si>
    <t>Alvo: Caldas ultra-salinas com tendência a floculação/gelificação | pH: 3.0 – 11.0 | Dose Máx: 4.0% | Fonte(s): Banco Definitivo (base)</t>
  </si>
  <si>
    <t>EO/PO Block Copolymer 100% (Pluronic® F127 / Poloxamer 407)  (EO/PO)</t>
  </si>
  <si>
    <t>Alvo: Misturas com orgânicos/surfactantes difíceis e turvação por microfase | pH: 4.0 – 10.0 | Dose Máx: 8.0% | Fonte(s): Banco Definitivo (base)</t>
  </si>
  <si>
    <t>Glicerina 99,5% (Glicerol)  (GLY)</t>
  </si>
  <si>
    <t>Alvo: Cristalização a frio e estabilidade de armazenamento | pH: 2.0 – 12.0 | Dose Máx: 40.0% | Fonte(s): Banco Definitivo (base)</t>
  </si>
  <si>
    <t>Glicerina 99.7%  (Gly-99)</t>
  </si>
  <si>
    <t>Alvo: K₂O, P₂O₅ | pH: 3.0 – 12.0 | Dose Máx: 40.0% | Fonte(s): P&amp;D (claud)</t>
  </si>
  <si>
    <t>HP-β-Ciclodextrina 99% (ex.: Kleptose® HPB, pó)  (HP-β-CD)</t>
  </si>
  <si>
    <t>Alvo: Solubilização de componentes orgânicos e estabilização de misturas com microfase | pH: 3.0 – 10.0 | Dose Máx: 25.0% | Fonte(s): Banco Definitivo (base)</t>
  </si>
  <si>
    <t>Hexametafosfato de Sódio  (SHMP)</t>
  </si>
  <si>
    <t>Alvo: P₂O₅, K₂O | pH: 6.0 – 8.5 | Dose Máx: 8.0% | Fonte(s): P&amp;D (claud)</t>
  </si>
  <si>
    <t>Hiperdispersante polimérico (ex.: BYK Disperbyk®-190, solução)  (BYK)</t>
  </si>
  <si>
    <t>Alvo: Suspensões ultra densas e microcristais persistentes (controle de reologia/estabilidade física) | pH: 4.0 – 10.0 | Dose Máx: 2.0% | Fonte(s): Banco Definitivo (base)</t>
  </si>
  <si>
    <t>Kolliphor® HS 15 (PEG-15 Hidroxiestearato, líquido/pasta)  (HS15)</t>
  </si>
  <si>
    <t>Alvo: Compatibilização de co-solventes e aditivos orgânicos com sais | pH: 4.0 – 9.0 | Dose Máx: 10.0% | Fonte(s): Banco Definitivo (base)</t>
  </si>
  <si>
    <t>Octilfenil Polioxietileno  (OP-10)</t>
  </si>
  <si>
    <t>Alvo: Micros organometálicos | pH: 5.0 – 9.0 | Dose Máx: 4.0% | Fonte(s): P&amp;D (claud)</t>
  </si>
  <si>
    <t>PCE 40% (Policarboxilato éter tipo 'comb polymer', solução)  (PCE)</t>
  </si>
  <si>
    <t>Alvo: Suspensões ultra concentradas / microcristais persistentes / reologia difícil | pH: 6.0 – 10.5 | Dose Máx: 3.0% | Fonte(s): Banco Definitivo (base)</t>
  </si>
  <si>
    <t>PVP K30 (Polivinilpirrolidona, pó)  (PVP)</t>
  </si>
  <si>
    <t>Alvo: Redução de cristalização a frio e estabilização de microfases orgânicas | pH: 2.0 – 10.0 | Dose Máx: 12.0% | Fonte(s): Banco Definitivo (base)</t>
  </si>
  <si>
    <t>Poliacrilato de Sódio 45%  (PAA-Na)</t>
  </si>
  <si>
    <t>Alvo: Ca, Mg, K, micros | pH: 6.5 – 8.5 | Dose Máx: 15.0% | Fonte(s): P&amp;D (claud), P&amp;D (coop)</t>
  </si>
  <si>
    <t>Polioxietileno 20.000  (PEO-20k)</t>
  </si>
  <si>
    <t>Alvo: Sais insolúveis | pH: 4.0 – 10.0 | Dose Máx: 8.0% | Fonte(s): P&amp;D (claud)</t>
  </si>
  <si>
    <t>Polivinilpirrolidona 30% (PVP K30)  (PVP-30)</t>
  </si>
  <si>
    <t>Alvo: Todos | pH: 4.0 – 8.5 | Dose Máx: 2.0% | Fonte(s): P&amp;D (coop)</t>
  </si>
  <si>
    <t>Polivinilpirrolidona K90  (PVP-K90)</t>
  </si>
  <si>
    <t>Alvo: N-P-K, micros | pH: 3.0 – 11.0 | Dose Máx: 12.0% | Fonte(s): P&amp;D (claud)</t>
  </si>
  <si>
    <t>Soluplus® (BASF, copolímero PEG-PVAc-PVP, sólido)  (SLP)</t>
  </si>
  <si>
    <t>Alvo: Compatibilização extrema de orgânicos/surfactantes e redução de turvação | pH: 3.0 – 10.0 | Dose Máx: 10.0% | Fonte(s): Banco Definitivo (base)</t>
  </si>
  <si>
    <t>Sorbitol 70%  (Sorb-70)</t>
  </si>
  <si>
    <t>Alvo: K₂SO₄, KNO₃ | pH: 4.0 – 8.0 | Dose Máx: 30.0% | Fonte(s): P&amp;D (claud)</t>
  </si>
  <si>
    <t>Isômero D - máxima solubilidade em água</t>
  </si>
  <si>
    <t>Cristaliza &lt;5°C</t>
  </si>
  <si>
    <t>Sulfobutil Éter β-Ciclodextrina (Captisol®, pó)  (SBE-β-CD)</t>
  </si>
  <si>
    <t>Alvo: Compatibilização de co-solventes/surfactantes orgânicos e redução de separação de fase | pH: 3.0 – 10.0 | Dose Máx: 20.0% | Fonte(s): Banco Definitivo (base)</t>
  </si>
  <si>
    <t>Ácido Fosfônico HEDP  (HEDP)</t>
  </si>
  <si>
    <t>Alvo: Ca-P, Mg-P | pH: 2.0 – 12.0 | Dose Máx: 15.0% | Fonte(s): P&amp;D (claud)</t>
  </si>
  <si>
    <t>1,2-Propanodiol (Propilenoglicol USP)  (PG)</t>
  </si>
  <si>
    <t>Alvo: Todos | pH: 3.0 – 9.5 | Dose Máx: 15.0% | Fonte(s): P&amp;D (coop)</t>
  </si>
  <si>
    <t>Carbonato de Propileno 99% (Propylene Carbonate)  (PC)</t>
  </si>
  <si>
    <t>Alvo: Sais altamente concentrados e estabilidade a frio | pH: 4.0 – 11.0 | Dose Máx: 20.0% | Fonte(s): Banco Definitivo (base)</t>
  </si>
  <si>
    <t>DES: Cloreto de Colina : Glicerol (1:2) — 'Glyceline' (líquido)  (DES)</t>
  </si>
  <si>
    <t>Alvo: Estabilidade a frio e compatibilização em caldas muito concentradas | pH: 4.0 – 10.0 | Dose Máx: 35.0% | Fonte(s): Banco Definitivo (base)</t>
  </si>
  <si>
    <t>DES: Cloreto de Colina : Ureia (1:2) — 'Reline' (líquido)  (DES)</t>
  </si>
  <si>
    <t>Alvo: Supersaturação a frio e compatibilização de sistemas altamente polares | pH: 4.0 – 10.0 | Dose Máx: 30.0% | Fonte(s): Banco Definitivo (base)</t>
  </si>
  <si>
    <t>DMSO 99,9% (Dimetilsulfóxido)  (DMSO)</t>
  </si>
  <si>
    <t>Alvo: Supersaturação de sais + estabilidade a frio (cristalização induzida por queda de T) | pH: 2.0 – 12.0 | Dose Máx: 25.0% | Fonte(s): Banco Definitivo (base)</t>
  </si>
  <si>
    <t>Dipropilenoglicol metil éter  (DPM)</t>
  </si>
  <si>
    <t>Alvo: K₂O, P₂O₅, micros | pH: 4.0 – 7.5 | Dose Máx: 35.0% | Fonte(s): P&amp;D (claud)</t>
  </si>
  <si>
    <t>Líquido iônico: 1-etil-3-metilimidazólio acetato (EMIM OAc)  (IL)</t>
  </si>
  <si>
    <t>Alvo: Compatibilização extrema e supressão de cristalização em sistemas altamente polares | pH: 4.0 – 10.0 | Dose Máx: 10.0% | Fonte(s): Banco Definitivo (base)</t>
  </si>
  <si>
    <t>N-Metilpirrolidona  (NMP)</t>
  </si>
  <si>
    <t>Alvo: Fosfatos complexos | pH: 4.0 – 9.0 | Dose Máx: 20.0% | Fonte(s): P&amp;D (claud)</t>
  </si>
  <si>
    <t>N-metil-2-pirrolidona 99% (NMP)  (NMP)</t>
  </si>
  <si>
    <t>Alvo: Compatibilização de polímeros/surfactantes em alta salinidade | pH: 2.0 – 12.0 | Dose Máx: 20.0% | Fonte(s): Banco Definitivo (base)</t>
  </si>
  <si>
    <t>PEG-400 100% (Polietilenoglicol, líquido)  (PEG-400)</t>
  </si>
  <si>
    <t>Alvo: Estabilidade a frio e compatibilização de multiaditivos em caldas densas | pH: 3.0 – 11.5 | Dose Máx: 35.0% | Fonte(s): Banco Definitivo (base)</t>
  </si>
  <si>
    <t>Polietilenoglicol 8000  (PEG-8000)</t>
  </si>
  <si>
    <t>Alvo: N-P-K, Micros | pH: 5.0 – 9.0 | Dose Máx: 25.0% | Fonte(s): P&amp;D (claud)</t>
  </si>
  <si>
    <t>Poliéter Aminas (Jeffamine D-230)  (PEA-D230)</t>
  </si>
  <si>
    <t>Alvo: Zn, Cu, Mn | pH: 5.0 – 9.0 | Dose Máx: 3.0% | Fonte(s): P&amp;D (coop)</t>
  </si>
  <si>
    <t>Polióis de Polietileno Glicol 6000 (PEG-6000)  (PEG-6000)</t>
  </si>
  <si>
    <t>Alvo: Todos exceto Boro | pH: 4.0 – 9.0 | Dose Máx: 5.0% | Fonte(s): P&amp;D (coop)</t>
  </si>
  <si>
    <t>Álcool Benzílico  (BA)</t>
  </si>
  <si>
    <t>Alvo: Fe, Zn, Cu | pH: 3.0 – 8.0 | Dose Máx: 10.0% | Fonte(s): P&amp;D (coop)</t>
  </si>
  <si>
    <t>γ-Butirolactona 99% (GBL)  (GBL)</t>
  </si>
  <si>
    <t>Alvo: Estabilidade a frio e compatibilização de orgânicos | pH: 3.0 – 11.0 | Dose Máx: 15.0% | Fonte(s): Banco Definitivo (base)</t>
  </si>
  <si>
    <t>Alquil Poliglucosídeo 50% (APG, solução)  (APG)</t>
  </si>
  <si>
    <t>Alvo: Caldas salinas com necessidade de molhabilidade e estabilidade coloidal | pH: 4.0 – 11.0 | Dose Máx: 5.0% | Fonte(s): Banco Definitivo (base)</t>
  </si>
  <si>
    <t>Fluorosurfactante não-iônico (ex.: Chemours Capstone® FS-63, líquido)  (FS)</t>
  </si>
  <si>
    <t>Alvo: Compatibilização interfacial 'impossível' e controle de microfase | pH: 4.0 – 9.0 | Dose Máx: 0.5% | Fonte(s): Banco Definitivo (base)</t>
  </si>
  <si>
    <t>HASE 30% (espessante acrílico associativo, emulsão)  (HASE)</t>
  </si>
  <si>
    <t>Alvo: Controle de reologia e prevenção de separação/sedimentação em sistemas complexos | pH: 7.5 – 10.0 | Dose Máx: 2.0% | Fonte(s): Banco Definitivo (base)</t>
  </si>
  <si>
    <t>HEUR 25% (espessante associativo poliuretano, emulsão)  (HEUR)</t>
  </si>
  <si>
    <t>Alvo: Estabilidade física (anti-sedimentação) em caldas muito densas e multissólidos | pH: 7.0 – 10.0 | Dose Máx: 2.0% | Fonte(s): Banco Definitivo (base)</t>
  </si>
  <si>
    <t>Nonoxinol-40  (NP-40)</t>
  </si>
  <si>
    <t>Alvo: Todos nutrientes | pH: 4.0 – 12.0 | Dose Máx: 5.0% | Fonte(s): P&amp;D (claud)</t>
  </si>
  <si>
    <t>Polissorbato 80 100% (Tween® 80)  (PS80)</t>
  </si>
  <si>
    <t>Alvo: Estabilização de microemulsões e compatibilização orgânica em meio aquoso | pH: 4.0 – 9.0 | Dose Máx: 8.0% | Fonte(s): Banco Definitivo (base)</t>
  </si>
  <si>
    <t>Surfactante Não-Iônico C9-C11 Etoxilado (9EO)  (NI-C9E9)</t>
  </si>
  <si>
    <t>Alvo: Todos | pH: 4.0 – 9.0 | Dose Máx: 1.5% | Fonte(s): P&amp;D (coop)</t>
  </si>
  <si>
    <t>Trisiloxano Etoxilado 100% (superespalhante, ex.: Silwet™ L-77)  (TSEO)</t>
  </si>
  <si>
    <t>Alvo: Compatibilização interfacial e estabilidade física em misturas multiaditivo | pH: 5.0 – 9.0 | Dose Máx: 1.0% | Fonte(s): Banco Definitivo (base)</t>
  </si>
  <si>
    <t>BANCO DE DADOS DEFINITIVO DE ADITIVOS — MODO: O CÉU É O LIMITE</t>
  </si>
  <si>
    <t>É tecnologia madura de dispersão extrema usada em tintas de alto desempenho — excelente para manter sólidos finos estáveis.</t>
  </si>
  <si>
    <t>Hiperdispersante polimérico (ex.: Lubrizol Solsperse™ 27000, solução)</t>
  </si>
  <si>
    <t>SP</t>
  </si>
  <si>
    <t>Estabilização estérica e controle de floculação por polímero anfifílico de alta afinidade superficial.</t>
  </si>
  <si>
    <t>Sistemas com pigmentos/partículas e turvação por agregação; estabilidade de longo prazo</t>
  </si>
  <si>
    <t>Incorporar com cisalhamento; ajustar pacote de solventes/umectantes para evitar separação de fase.</t>
  </si>
  <si>
    <t>Sensível a escolha de solvente; pode alterar viscosidade de modo não-linear; exige testes de estabilidade térmica.</t>
  </si>
  <si>
    <t>Os hiperdispersantes de tintas são referência quando o problema é estabilidade física extrema com alta carga de sólidos.</t>
  </si>
  <si>
    <t>Como usar este banco</t>
  </si>
  <si>
    <t>Objetivo</t>
  </si>
  <si>
    <t>Catálogo técnico para simulação de supersaturação e estabilidade física em caldas de altíssima densidade.</t>
  </si>
  <si>
    <t>Leitura rápida</t>
  </si>
  <si>
    <t>Filtre por Grupo/Alvo Principal. Use 'Função Termodinâmica' para mapear o mecanismo dominante (complexação, antiescala, micelas, atividade de água, reologia).</t>
  </si>
  <si>
    <t>Ordem de adição</t>
  </si>
  <si>
    <t>Regra prática: (1) condicionador/quelante, (2) dissolução de sais, (3) polímeros dispersantes, (4) co-solventes/umectantes, (5) surfactantes, (6) ajuste final de pH.</t>
  </si>
  <si>
    <t>Caldas a frio</t>
  </si>
  <si>
    <t>Para cristalização a frio, priorize modificadores de atividade da água (PEG/glicerol/DES), antiescala (fosfonatos/polímeros) e compatibilizantes micelares (EO/PO).</t>
  </si>
  <si>
    <t>Compatibilidade</t>
  </si>
  <si>
    <t>Alta força iônica pode causar: cloud point (não-iônicos), gelificação (polímeros), floculação (cátions multivalentes). Teste sempre em microescala.</t>
  </si>
  <si>
    <t>EHS</t>
  </si>
  <si>
    <t>Alguns itens são solventes/tecnologias industriais com riscos relevantes. Use o campo 'Alerta de Perigo Severo' como gatilho para avaliação de segurança e compatibilidade de materiais.</t>
  </si>
  <si>
    <t>Comentários</t>
  </si>
  <si>
    <t>O cabeçalho da tabela possui comentários (clique no triângulo vermelho) com definições e lembretes críticos.</t>
  </si>
  <si>
    <t>Leitura por categorias</t>
  </si>
  <si>
    <t>Veja a aba 'Categorias (Leitura)' para uma visão em blocos (mais confortável na tela).</t>
  </si>
  <si>
    <t>Padronização</t>
  </si>
  <si>
    <t>A coluna 'Faixa pH Ideal' foi padronizada para formato 'min – max' com ponto decimal. A coluna 'Dose Máxima Técnica (%)' foi padronizada como número (sem o símbolo %), facilitando filtro e uso em simuladores.</t>
  </si>
  <si>
    <t>Master (Tabela)</t>
  </si>
  <si>
    <t>A aba 'Master (Tabela)' unifica o banco definitivo + as importações (claud/coop), com 'Categoria de Ação' e 'Fonte(s)' para facilitar filtro e rastreabilidade.</t>
  </si>
  <si>
    <t>IMPORTAÇÃO — Aditivos Extremos P&amp;D (claud)</t>
  </si>
  <si>
    <t>Peso molecular 5000-15000 Da - máxima eficiência anti-cristalina</t>
  </si>
  <si>
    <t>Sorb-70</t>
  </si>
  <si>
    <t>IMPORTAÇÃO — Aditivos Extremos (coop) — deduplicado</t>
  </si>
  <si>
    <t>Poliacrilato de Sódio 45% (Sokalan CP 5)</t>
  </si>
  <si>
    <t>PAS-45</t>
  </si>
  <si>
    <t>Inibe nucleação e crescimento de cristais por adsorção em núcleos</t>
  </si>
  <si>
    <t>Ca, Mg, Zn, Mn</t>
  </si>
  <si>
    <t>Adicionar lentamente sob agitação vigorosa</t>
  </si>
  <si>
    <t>Incompatível com soluções ácidas fortes</t>
  </si>
  <si>
    <t>Alta eficiência em sistemas com alta carga iônica</t>
  </si>
  <si>
    <t>TDS (RESUMO EXECUTIVO) — SORBITOL 70% LÍQUIDO (BASEADO NO TDS v2.0 — 31/03/2026)</t>
  </si>
  <si>
    <t>Fonte</t>
  </si>
  <si>
    <t>TDS_Sorbitol_70_Liquido.xlsx (versão 2.0, 31/03/2026) — ver abas SOR70_* para o dossiê completo.</t>
  </si>
  <si>
    <t>1) Propriedades físicas (valores típicos / critérios de compra)</t>
  </si>
  <si>
    <t>Propriedade</t>
  </si>
  <si>
    <t>Valor</t>
  </si>
  <si>
    <t>Método / Notas</t>
  </si>
  <si>
    <t>Densidade a 20°C</t>
  </si>
  <si>
    <t>1,290</t>
  </si>
  <si>
    <t>g/cm³</t>
  </si>
  <si>
    <t>Picnômetro</t>
  </si>
  <si>
    <t>Viscosidade Brookfield (25°C)</t>
  </si>
  <si>
    <t>450</t>
  </si>
  <si>
    <t>cP</t>
  </si>
  <si>
    <t>Spindle RV, 20 RPM</t>
  </si>
  <si>
    <t>Viscosidade a 5°C</t>
  </si>
  <si>
    <t>130</t>
  </si>
  <si>
    <t>Critério interno: Δη &lt; 50% para estabilidade</t>
  </si>
  <si>
    <t>Índice de refração (20°C)</t>
  </si>
  <si>
    <t>1,470</t>
  </si>
  <si>
    <t>nD</t>
  </si>
  <si>
    <t>Checagem de autenticidade</t>
  </si>
  <si>
    <t>Cor (APHA)</t>
  </si>
  <si>
    <t>≤ 100</t>
  </si>
  <si>
    <t>U. APHA</t>
  </si>
  <si>
    <t>Acima de 150 sugere degradação</t>
  </si>
  <si>
    <t>Ponto de congelamento</t>
  </si>
  <si>
    <t>-2 a 0</t>
  </si>
  <si>
    <t>°C</t>
  </si>
  <si>
    <t>CRÍTICO: risco de cristalização</t>
  </si>
  <si>
    <t>Teor de sólidos</t>
  </si>
  <si>
    <t>70,0 – 71,5</t>
  </si>
  <si>
    <t>Sólidos totais</t>
  </si>
  <si>
    <t>2) Propriedades químicas (valores típicos / critérios de compra)</t>
  </si>
  <si>
    <t>Pureza / Assay (HPLC)</t>
  </si>
  <si>
    <t>99,5</t>
  </si>
  <si>
    <t>Sorbitol puro (base analítica)</t>
  </si>
  <si>
    <t>pH em solução 1:1</t>
  </si>
  <si>
    <t>5,5</t>
  </si>
  <si>
    <t>-</t>
  </si>
  <si>
    <t>Neutro</t>
  </si>
  <si>
    <t>Cinzas sulfatadas</t>
  </si>
  <si>
    <t>≤ 0,08</t>
  </si>
  <si>
    <t>Inorgânicos totais</t>
  </si>
  <si>
    <t>Cloretos (NaCl)</t>
  </si>
  <si>
    <t>≤ 0,03</t>
  </si>
  <si>
    <t>Potenciometria</t>
  </si>
  <si>
    <t>Sulfatos (SO₄²⁻)</t>
  </si>
  <si>
    <t>Espectrometria</t>
  </si>
  <si>
    <t>Ferro total (Fe)</t>
  </si>
  <si>
    <t>≤ 0,0005</t>
  </si>
  <si>
    <t>Absorção atômica</t>
  </si>
  <si>
    <t>Matéria orgânica volátil</t>
  </si>
  <si>
    <t>≤ 0,30</t>
  </si>
  <si>
    <t>110°C / 2h</t>
  </si>
  <si>
    <t>Acidez titulável</t>
  </si>
  <si>
    <t>Como ácido acético</t>
  </si>
  <si>
    <t>3) Fornecedores (Brasil) — referência do dossiê</t>
  </si>
  <si>
    <t>Classificação</t>
  </si>
  <si>
    <t>Empresa</t>
  </si>
  <si>
    <t>Contato</t>
  </si>
  <si>
    <t>Formato</t>
  </si>
  <si>
    <t>Distribuidor Premium</t>
  </si>
  <si>
    <t>Ingredion Brasil</t>
  </si>
  <si>
    <t>www.ingredion.com</t>
  </si>
  <si>
    <t>IBC 1000L, Tambor</t>
  </si>
  <si>
    <t>Fabricante</t>
  </si>
  <si>
    <t>Cargill Brasil</t>
  </si>
  <si>
    <t>www.cargill.com.br</t>
  </si>
  <si>
    <t>Especializado</t>
  </si>
  <si>
    <t>Solquímica Ltda</t>
  </si>
  <si>
    <t>www.solquimica.com.br</t>
  </si>
  <si>
    <t>Tambor 200L, IBC</t>
  </si>
  <si>
    <t>Importador</t>
  </si>
  <si>
    <t>Jungbunzlauer Brasil</t>
  </si>
  <si>
    <t>www.jungbunzlauer.com</t>
  </si>
  <si>
    <t>IBC 1000L, Container</t>
  </si>
  <si>
    <t>Regional</t>
  </si>
  <si>
    <t>Quimidrol Química</t>
  </si>
  <si>
    <t>contato@quimidrol.com.br</t>
  </si>
  <si>
    <t>Tambor, Flexibag</t>
  </si>
  <si>
    <t>4) Perguntas críticas ao vendedor (não cristalizar @ 5°C)</t>
  </si>
  <si>
    <t>Pergunta</t>
  </si>
  <si>
    <t>1</t>
  </si>
  <si>
    <t>Ponto de congelação exato? Curva viscosidade vs T (-5°C, -10°C)?</t>
  </si>
  <si>
    <t>2</t>
  </si>
  <si>
    <t>Sorbitol foi cristalizado/redissolvido? Quantos ciclos?</t>
  </si>
  <si>
    <t>3</t>
  </si>
  <si>
    <t>Tamanho partícula médio (laser diffraction ou SEM)?</t>
  </si>
  <si>
    <t>4</t>
  </si>
  <si>
    <t>Compatibilidade anti-aglomerantes? Lista de aditivos presentes?</t>
  </si>
  <si>
    <t>5</t>
  </si>
  <si>
    <t>Histórico armazenamento? T° máxima transporte?</t>
  </si>
  <si>
    <t>6</t>
  </si>
  <si>
    <t>Teste estabilidade acelerada (5°C / 7-14 dias)?</t>
  </si>
  <si>
    <t>7</t>
  </si>
  <si>
    <t>Viscosidade exata @ 5°C?</t>
  </si>
  <si>
    <t>8</t>
  </si>
  <si>
    <t>Certificado ISO 9001? Reprodutibilidade lote-a-lote?</t>
  </si>
  <si>
    <t>9</t>
  </si>
  <si>
    <t>pH do lote específico? Flutuações?</t>
  </si>
  <si>
    <t>10</t>
  </si>
  <si>
    <t>Condições ideais armazenamento pós-recebimento?</t>
  </si>
  <si>
    <t>Dossiê Técnico — SORBITOL 70% (Poliol para caldas concentradas)</t>
  </si>
  <si>
    <t>Identificação do Insumo</t>
  </si>
  <si>
    <t>Nome técnico/comercial + grau</t>
  </si>
  <si>
    <t>Sorbitol 70% líquido (solução aquosa) — definir grau: USP/FCC vs Industrial</t>
  </si>
  <si>
    <t>CAS / INCI (referência)</t>
  </si>
  <si>
    <t>CAS 50-70-4 | INCI: Sorbitol</t>
  </si>
  <si>
    <t>Função no processo</t>
  </si>
  <si>
    <t>Umectante / modificador de atividade de água / crioprotetor moderado / co-solvente viscosificante</t>
  </si>
  <si>
    <t>Aplicação-alvo</t>
  </si>
  <si>
    <t>Fertilizantes foliares de alta concentração (anti-cristalização a frio + estabilidade física)</t>
  </si>
  <si>
    <t>1) Especificação Química de Elite (TDS) — metas de compra</t>
  </si>
  <si>
    <t>Densidade (25°C) — alvo</t>
  </si>
  <si>
    <t>1,285 – 1,315 g/mL (confirmar por lote)</t>
  </si>
  <si>
    <t>Viscosidade Brookfield (25°C) — alvo</t>
  </si>
  <si>
    <t>≈ 400 – 800 mPa·s (obrigatório informar spindle/rpm e curva vs temperatura)</t>
  </si>
  <si>
    <t>Índice de refração (20°C) — alvo</t>
  </si>
  <si>
    <t>≈ 1,455 – 1,465 (nD)</t>
  </si>
  <si>
    <t>Assay / Teor (base produto)</t>
  </si>
  <si>
    <t>68 – 72% m/m (sorbitol) | Água 28 – 32% m/m (ajustar conforme grade)</t>
  </si>
  <si>
    <t>pH (solução 1:1, 25°C)</t>
  </si>
  <si>
    <t>5,0 – 7,5 (alvo típico; exigir faixa no certificado de análise)</t>
  </si>
  <si>
    <t>Cinzas sulfatadas (máx.)</t>
  </si>
  <si>
    <t>≤ 0,10% m/m (ajustar conforme grau)</t>
  </si>
  <si>
    <t>Ponto de nuvem</t>
  </si>
  <si>
    <t>N/A (não-iônico). Relevante indiretamente por mistura com surfactantes não-iônicos no produto final.</t>
  </si>
  <si>
    <t>Tensão superficial</t>
  </si>
  <si>
    <t>N/A (não surfactante). O impacto é indireto via viscosidade/atividade de água.</t>
  </si>
  <si>
    <t>2) Dimensionamento do Reator e Agitação (guidelines de scale-up)</t>
  </si>
  <si>
    <t>Tipo de vaso</t>
  </si>
  <si>
    <t>Reator encamisado inox 316L (viscosidade elevada; prever bocais para recirculação e adição controlada)</t>
  </si>
  <si>
    <t>Impelidor recomendado</t>
  </si>
  <si>
    <t>Hélice axial + defletores para circulação; Cowles/rotor-estator apenas se houver sólidos/gel a dispersar</t>
  </si>
  <si>
    <t>Potência específica (referência)</t>
  </si>
  <si>
    <t>0,5–2 kW/m³ (mistura de líquidos viscosos) | aumentar se houver dissolução de sais com tendência a aglomerar</t>
  </si>
  <si>
    <t>Troca térmica</t>
  </si>
  <si>
    <t>Prever aquecimento leve (ex.: 35–60°C) para reduzir viscosidade durante carga/transferência; resfriar controladamente antes do envase</t>
  </si>
  <si>
    <t>3) Mapa de Operações Unitárias (processo típico)</t>
  </si>
  <si>
    <t>Ordem de adição crítica</t>
  </si>
  <si>
    <t>1) Carregar água → 2) Dissolver sais principais → 3) Adicionar sorbitol 70% sob agitação → 4) Ajustar pH final → 5) Checar clareza/viscosidade → 6) Resfriar e filtrar</t>
  </si>
  <si>
    <t>Pontos de amostragem</t>
  </si>
  <si>
    <t>Após adição total do sorbitol; após ajuste de pH; após resfriamento; após 24–72 h a 5°C</t>
  </si>
  <si>
    <t>Filtração de linha</t>
  </si>
  <si>
    <t>Bag 100–200 µm (proteção de bomba) + opcional 50–100 µm (polimento). Se houver risco de microcristais, preferir 100 µm para reduzir perda de carga.</t>
  </si>
  <si>
    <t>4) Segurança e Suprimentos (Brasil)</t>
  </si>
  <si>
    <t>PCC (temperatura)</t>
  </si>
  <si>
    <t>Evitar estocagem a frio sem qualificação do lote. Controle em estocagem/transferência para evitar aumento excessivo de viscosidade e cristalização.</t>
  </si>
  <si>
    <t>PCC (microbiologia)</t>
  </si>
  <si>
    <t>Produto nutritivo: exigir estratégia de preservação (se aplicável) e controle de contaminação (CIP, água de processo).</t>
  </si>
  <si>
    <t>Fornecedores/canais (referência)</t>
  </si>
  <si>
    <t>Barentz (Brasil), Cargill, Ingredion, Roquette, distribuidores de especialidades (IMCD/Brenntag/QuantiQ) — confirmar grade e embalagem (IBC/tambor).</t>
  </si>
  <si>
    <t>Perguntas críticas ao vendedor (para não cristalizar a 5°C)</t>
  </si>
  <si>
    <t>1) Versão cristalizante vs não-cristalizante</t>
  </si>
  <si>
    <t>O sorbitol 70% é 'crystallizing' ou 'non-crystallizing'? Há modificação com outros polióis para inibir cristalização?</t>
  </si>
  <si>
    <t>2) Curva de cristalização</t>
  </si>
  <si>
    <t>Há dados de estabilidade/câmara fria a 5°C (30–90 dias) por lote/grade? Qual o comportamento (cristais, névoa, separação)?</t>
  </si>
  <si>
    <t>3) Curva de viscosidade vs T</t>
  </si>
  <si>
    <t>Brookfield a 5°C/10°C/25°C (com spindle/rpm) para dimensionar bomba/tubulação.</t>
  </si>
  <si>
    <t>4) Variação de matéria seca</t>
  </si>
  <si>
    <t>Qual a tolerância de sólidos totais? Lotes com matéria seca alta cristalizam mais facilmente.</t>
  </si>
  <si>
    <t>5) Recomendação de estocagem</t>
  </si>
  <si>
    <t>Temperatura mínima recomendada e necessidade de recirculação/aquecimento (IBC com manta) em regiões frias.</t>
  </si>
  <si>
    <t>Compatibilidade esperada (boratos e nitratos)</t>
  </si>
  <si>
    <t>Com boratos</t>
  </si>
  <si>
    <t>Tende a formar complexos fracos com boro (poliol), o que pode ajudar na estabilidade de algumas soluções. Em doses altas pode elevar viscosidade e alterar reologia: testar a 5°C e em estocagem.</t>
  </si>
  <si>
    <t>Com nitratos</t>
  </si>
  <si>
    <t>Geralmente compatível; pode contribuir para estabilidade a frio. Risco principal é viscosidade/força iônica elevadas afetarem bombeamento e promoverem cristalização em queda de temperatura: testar em bancada/piloto.</t>
  </si>
  <si>
    <t>Atualização (TDS v2.0 — 31/03/2026)</t>
  </si>
  <si>
    <t>Detalhamento completo</t>
  </si>
  <si>
    <t>Foram adicionadas as abas SOR70_* com propriedades físicas/químicas, reator 5000 L, operações unitárias, PCC, compatibilidade &gt;40%, fornecedores, perguntas e troubleshooting.</t>
  </si>
  <si>
    <t>PROMPT MESTRE — ENGENHARIA INTEGRADA DE FORMULAÇÃO E PROCESSO (TEMPLATE)</t>
  </si>
  <si>
    <t>Identificação do Insumo / Processo</t>
  </si>
  <si>
    <t>Nome do Aditivo ou Alvo da Fórmula</t>
  </si>
  <si>
    <t>[PREENCHER]</t>
  </si>
  <si>
    <t>Aplicação</t>
  </si>
  <si>
    <t>Fertilizantes foliares de alta concentração / caldas supersaturadas</t>
  </si>
  <si>
    <t>Meta de desempenho</t>
  </si>
  <si>
    <t>Supersaturação extrema + estabilidade a frio (5°C) + fluidez (bombeamento/filtração)</t>
  </si>
  <si>
    <t>Escala alvo</t>
  </si>
  <si>
    <t>[PREENCHER: ex. 1 t/batelada, 5 t/batelada, etc.]</t>
  </si>
  <si>
    <t>Materiais de construção</t>
  </si>
  <si>
    <t>Preferencial: inox 316L + vedações compatíveis (EPDM/Viton conforme química)</t>
  </si>
  <si>
    <t>1) Especificação Química de Elite (TDS)</t>
  </si>
  <si>
    <t>Assay mínimo / Sólidos</t>
  </si>
  <si>
    <t>HLB (se surfactante)</t>
  </si>
  <si>
    <t>[PREENCHER ou N/A]</t>
  </si>
  <si>
    <t>Mw (se polímero)</t>
  </si>
  <si>
    <t>log K (se quelante)</t>
  </si>
  <si>
    <t>Densidade (25°C)</t>
  </si>
  <si>
    <t>[PREENCHER: spindle/rpm]</t>
  </si>
  <si>
    <t>Ponto de nuvem (cloud point)</t>
  </si>
  <si>
    <t>[PREENCHER / N/A]</t>
  </si>
  <si>
    <t>2) Dimensionamento do Reator e Agitação</t>
  </si>
  <si>
    <t>Reator encamisado em inox 316L (com controle térmico e respiro/condensador se necessário)</t>
  </si>
  <si>
    <t>Impelidor (seleção)</t>
  </si>
  <si>
    <t>Cowles (alto cisalhamento) / Rushton (dispersão gas-líquido) / Hélice axial (circulação) — selecionar conforme reologia</t>
  </si>
  <si>
    <t>Faixa de potência específica (referência)</t>
  </si>
  <si>
    <t>Mistura/solubilização: 0,5–3 kW/m³ | Dispersão alto cisalhamento: 3–10 kW/m³ (ajustar em piloto)</t>
  </si>
  <si>
    <t>Critério anti-sedimentação</t>
  </si>
  <si>
    <t>Manter velocidade de escoamento e turbulência suficiente; validar com testes de parada/retomada e perfil de densidade</t>
  </si>
  <si>
    <t>Prever aquecimento para dissolução/viscosidade + resfriamento (chiller) para travar cristalização e controlar exotermias</t>
  </si>
  <si>
    <t>3) Mapa de Operações Unitárias</t>
  </si>
  <si>
    <t>1) Condicionadores/quelantes → 2) Sais principais → 3) Polímeros → 4) Co-solventes/polióis → 5) Surfactantes → 6) Ajuste final de pH</t>
  </si>
  <si>
    <t>Após dissolução total; após ajuste de pH; após resfriamento; após 24 h (5°C)</t>
  </si>
  <si>
    <t>Teste de estabilidade a frio (5°C)</t>
  </si>
  <si>
    <t>Câmara a 5°C por 24–72 h: observar cristalização, separação de fase, aumento de viscosidade</t>
  </si>
  <si>
    <t>Filtração de linha (referência)</t>
  </si>
  <si>
    <t>Pré-filtro (bag) 100–200 µm + polimento 50–100 µm (ajustar ao risco de gel/microcristais)</t>
  </si>
  <si>
    <t>PCC (pH)</t>
  </si>
  <si>
    <t>pH em tempo real (limites por janela de estabilidade)</t>
  </si>
  <si>
    <t>Controle e alarmes para evitar cristalização massiva e picos exotérmicos</t>
  </si>
  <si>
    <t>Fornecedores (IBC/Tambor)</t>
  </si>
  <si>
    <t>[PREENCHER: 5 contatos com embalagem/lead time]</t>
  </si>
  <si>
    <t>Compatibilidade: boratos e nitratos &gt;40%</t>
  </si>
  <si>
    <t>Avaliar força iônica, risco de cloud point (não-iônicos), complexação (boratos/polióis) e cristalização a frio. Validar em piloto.</t>
  </si>
  <si>
    <t>DOSSIÊ — SORBITOL 70% (ÍNDICE)</t>
  </si>
  <si>
    <t>DOSSIÊ TÉCNICO COMPLETO</t>
  </si>
  <si>
    <t>SORBITOL 70% LÍQUIDO PARA FERTILIZANTES FOLIARES</t>
  </si>
  <si>
    <t>Data: 31 de Março de 2026 | Versão 2.0 - P&amp;D EXTREMO</t>
  </si>
  <si>
    <t>📑 NAVEGAÇÃO POR SEÇÃO</t>
  </si>
  <si>
    <t>1️⃣ ESPECIFICAÇÕES TÉCNICAS</t>
  </si>
  <si>
    <t xml:space="preserve">  • Propriedades Físicas - Densidade, viscosidade, índice refração</t>
  </si>
  <si>
    <t xml:space="preserve">  • Propriedades Químicas - Assay, pH, cinzas, metais traço</t>
  </si>
  <si>
    <t xml:space="preserve">  • TDS Expandido - Mw, log K, parâmetros de elite</t>
  </si>
  <si>
    <t xml:space="preserve">  • Fornecedores Brasil - 5 principais empresas</t>
  </si>
  <si>
    <t>2️⃣ IMPLEMENTAÇÃO INDUSTRIAL</t>
  </si>
  <si>
    <t xml:space="preserve">  • Dimensionamento Reator - Vaso 316L, agitação, troca térmica</t>
  </si>
  <si>
    <t xml:space="preserve">  • Operações Unitárias - 10 etapas críticas de processo</t>
  </si>
  <si>
    <t xml:space="preserve">  • Segurança &amp; PCC - 10 pontos críticos de controle</t>
  </si>
  <si>
    <t xml:space="preserve">  • Compatibilidade &gt;40% - Riscos em mistura de alta concentração</t>
  </si>
  <si>
    <t>3️⃣ GUIA OPERACIONAL</t>
  </si>
  <si>
    <t xml:space="preserve">  • Perguntas Críticas - 10 questões para vendor</t>
  </si>
  <si>
    <t xml:space="preserve">  • Compatibilidade - 10 componentes analisados</t>
  </si>
  <si>
    <t xml:space="preserve">  • Troubleshooting - 6 problemas comuns + 5 FAQs</t>
  </si>
  <si>
    <t xml:space="preserve">  • Documentação - Normas, referências, recursos</t>
  </si>
  <si>
    <t>ℹ️ INFORMAÇÕES CRÍTICAS RÁPIDAS</t>
  </si>
  <si>
    <t>Produto</t>
  </si>
  <si>
    <t>Sorbitol 70% Líquido | Food/Pharma Grade</t>
  </si>
  <si>
    <t>Fertilizante Foliar de Alta Concentração</t>
  </si>
  <si>
    <t>Embalagem</t>
  </si>
  <si>
    <t>IBC 1000L, Tambor 200L, Flexibag</t>
  </si>
  <si>
    <t>Temperatura</t>
  </si>
  <si>
    <t>5-25°C (armazenamento); 70-75°C (processamento)</t>
  </si>
  <si>
    <t>Vida Útil</t>
  </si>
  <si>
    <t>24 meses @ 5°C em embalagem inerte</t>
  </si>
  <si>
    <t>Peso Molecular</t>
  </si>
  <si>
    <t>182.17 g/mol (C₆H₁₄O₆)</t>
  </si>
  <si>
    <t>Osmolalidade</t>
  </si>
  <si>
    <t>3.8-4.2 mOsm/kg (máx seguro: 5 mOsm)</t>
  </si>
  <si>
    <t>Viscosidade</t>
  </si>
  <si>
    <t>400-500 cP @ 25°C (100-150 cP @ 5°C)</t>
  </si>
  <si>
    <t>SORBITOL 70% — PROPRIEDADES FÍSICAS</t>
  </si>
  <si>
    <t>Valor Típico</t>
  </si>
  <si>
    <t>Especificação / Notas</t>
  </si>
  <si>
    <t>1.290</t>
  </si>
  <si>
    <t>Medida por picnômetro</t>
  </si>
  <si>
    <t>Δη &lt; 50% = estável</t>
  </si>
  <si>
    <t>Índice de Refração (20°C)</t>
  </si>
  <si>
    <t>1.470</t>
  </si>
  <si>
    <t>Confirmação autenticidade</t>
  </si>
  <si>
    <t>Cor APHA</t>
  </si>
  <si>
    <t>Máximo; &gt; 150 = degradação</t>
  </si>
  <si>
    <t>Ponto de Congelamento</t>
  </si>
  <si>
    <t>⚠️ CRÍTICO: cristalização</t>
  </si>
  <si>
    <t>Ponto de Ebulição</t>
  </si>
  <si>
    <t>≈ 100</t>
  </si>
  <si>
    <t>Ligeiramente elevado</t>
  </si>
  <si>
    <t>Teor de Sólidos</t>
  </si>
  <si>
    <t>70.0 - 71.5</t>
  </si>
  <si>
    <t>Sorbitol puro em água</t>
  </si>
  <si>
    <t>SORBITOL 70% — PROPRIEDADES QUÍMICAS</t>
  </si>
  <si>
    <t>99.5</t>
  </si>
  <si>
    <t>Sorbitol puro</t>
  </si>
  <si>
    <t>5.5</t>
  </si>
  <si>
    <t>Cinzas Sulfatadas</t>
  </si>
  <si>
    <t>≤ 0.08</t>
  </si>
  <si>
    <t>Chloretos (NaCl)</t>
  </si>
  <si>
    <t>≤ 0.03</t>
  </si>
  <si>
    <t>Ferro Total (Fe)</t>
  </si>
  <si>
    <t>≤ 0.0005</t>
  </si>
  <si>
    <t>Matéria Orgânica Volátil</t>
  </si>
  <si>
    <t>≤ 0.30</t>
  </si>
  <si>
    <t>Aquecimento 110°C/2h</t>
  </si>
  <si>
    <t>Acidez Titulável</t>
  </si>
  <si>
    <t>Ácido acético</t>
  </si>
  <si>
    <t>SORBITOL 70% — DIMENSIONAMENTO REATOR (5000 L)</t>
  </si>
  <si>
    <t>ESPECIFICAÇÃO DO VASO</t>
  </si>
  <si>
    <t>Material</t>
  </si>
  <si>
    <t>Inox AISI 316L encamisado duplo</t>
  </si>
  <si>
    <t>Resistência corrosão</t>
  </si>
  <si>
    <t>Volume Nominal</t>
  </si>
  <si>
    <t>5000 L (5 m³)</t>
  </si>
  <si>
    <t>H:D = 1.2:1</t>
  </si>
  <si>
    <t>Altura / Diâmetro</t>
  </si>
  <si>
    <t>H = 2.5m / Ø = 1.6m</t>
  </si>
  <si>
    <t>H:D = 1.56</t>
  </si>
  <si>
    <t>Diâmetro Impelidor</t>
  </si>
  <si>
    <t>1.0-1.25 m</t>
  </si>
  <si>
    <t>Para D_r = 1.6m: D_i = 0.8m</t>
  </si>
  <si>
    <t>Altura Instalação</t>
  </si>
  <si>
    <t>0.5 m acima fundo</t>
  </si>
  <si>
    <t>Clearance mínimo = 0.3m</t>
  </si>
  <si>
    <t>Defletores</t>
  </si>
  <si>
    <t>4 baffles tipo parede</t>
  </si>
  <si>
    <t>Espaçados 90°</t>
  </si>
  <si>
    <t>Encamisamento</t>
  </si>
  <si>
    <t>Duplo: vapor + chiller</t>
  </si>
  <si>
    <t>50 kW aquec. + 24 kW resfr.</t>
  </si>
  <si>
    <t>SORBITOL 70% — CICLO DE PROCESSO (10 ETAPAS)</t>
  </si>
  <si>
    <t>Etapa / Tempo</t>
  </si>
  <si>
    <t>Procedimento</t>
  </si>
  <si>
    <t>Notas Críticas</t>
  </si>
  <si>
    <t>1. t=0min | 25°C</t>
  </si>
  <si>
    <t>Adicionar água DI 60% a 80 RPM</t>
  </si>
  <si>
    <t>Evitar tração ar</t>
  </si>
  <si>
    <t>2. t=5min | 25→40°C</t>
  </si>
  <si>
    <t>Ligar vapor; elevar T lentamente</t>
  </si>
  <si>
    <t>ΔT máx 5-10°C por 5 min</t>
  </si>
  <si>
    <t>3. t=15min | 40→70°C</t>
  </si>
  <si>
    <t>ADICIONAR SORBITOL (&lt;100 kg/min)</t>
  </si>
  <si>
    <t>Taxa crítica</t>
  </si>
  <si>
    <t>4. t=40min | 70-75°C</t>
  </si>
  <si>
    <t>Aumentar RPM para 100-110</t>
  </si>
  <si>
    <t>Esperar dissolução</t>
  </si>
  <si>
    <t>5. t=65min | 75°C</t>
  </si>
  <si>
    <t>Adicionar H₃PO₄ (2%) LENTAMENTE</t>
  </si>
  <si>
    <t>Exotérmico</t>
  </si>
  <si>
    <t>6. t=100min | 75°C</t>
  </si>
  <si>
    <t>Adicionar Nitratos + Boratos</t>
  </si>
  <si>
    <t>Taxa 100 mL/min</t>
  </si>
  <si>
    <t>7. t=125min | 75°C</t>
  </si>
  <si>
    <t>Amostra QC completa</t>
  </si>
  <si>
    <t>Liberar após aprovação</t>
  </si>
  <si>
    <t>8. t=160min | 75→5°C</t>
  </si>
  <si>
    <t>RESFRIAMENTO FORÇADO (≤5°C/h)</t>
  </si>
  <si>
    <t>Taxa rápida = cristalização</t>
  </si>
  <si>
    <t>9. t=360min | 5°C</t>
  </si>
  <si>
    <t>Estabilidade fria: Δη &lt; 50%</t>
  </si>
  <si>
    <t>Se &gt; 50% = REJEITAR</t>
  </si>
  <si>
    <t>10. t=420min | 5°C</t>
  </si>
  <si>
    <t>Descarregar IBC + N₂</t>
  </si>
  <si>
    <t>Máx 24h em reator</t>
  </si>
  <si>
    <t>SORBITOL 70% — PONTOS CRÍTICOS DE CONTROLE (PCC)</t>
  </si>
  <si>
    <t>PCC ID</t>
  </si>
  <si>
    <t>Parâmetro</t>
  </si>
  <si>
    <t>Limite Crítico</t>
  </si>
  <si>
    <t>Ação Corretiva</t>
  </si>
  <si>
    <t>PCC-01</t>
  </si>
  <si>
    <t>T° Água Inicial</t>
  </si>
  <si>
    <t>20-30°C</t>
  </si>
  <si>
    <t>Se &gt; 35°C: drenar</t>
  </si>
  <si>
    <t>PCC-02</t>
  </si>
  <si>
    <t>Taxa Sorbitol</t>
  </si>
  <si>
    <t>&lt; 100 kg/min</t>
  </si>
  <si>
    <t>Se &gt; 100: parar</t>
  </si>
  <si>
    <t>PCC-03</t>
  </si>
  <si>
    <t>pH Contínuo</t>
  </si>
  <si>
    <t>Se &lt; 3: parar</t>
  </si>
  <si>
    <t>PCC-04</t>
  </si>
  <si>
    <t>T° Núcleo</t>
  </si>
  <si>
    <t>70 ± 5°C</t>
  </si>
  <si>
    <t>Se &gt; 85°C: frio</t>
  </si>
  <si>
    <t>PCC-05</t>
  </si>
  <si>
    <t>400-500 cP</t>
  </si>
  <si>
    <t>Se não reduz: REJEITAR</t>
  </si>
  <si>
    <t>PCC-06</t>
  </si>
  <si>
    <t>Taxa Resfr.</t>
  </si>
  <si>
    <t>≤ 5°C/h</t>
  </si>
  <si>
    <t>Se &gt; 10°C: reduzir</t>
  </si>
  <si>
    <t>PCC-07</t>
  </si>
  <si>
    <t>Visc @ 5°C</t>
  </si>
  <si>
    <t>&lt; 200 cP</t>
  </si>
  <si>
    <t>Δη &lt; 50%</t>
  </si>
  <si>
    <t>PCC-08</t>
  </si>
  <si>
    <t>Se &gt; 150: degradação</t>
  </si>
  <si>
    <t>PCC-09</t>
  </si>
  <si>
    <t>Pressão Vapor</t>
  </si>
  <si>
    <t>&lt; 2 bar</t>
  </si>
  <si>
    <t>Se &gt; 2.5: purga</t>
  </si>
  <si>
    <t>PCC-10</t>
  </si>
  <si>
    <t>1.5-2.5%</t>
  </si>
  <si>
    <t>Automática</t>
  </si>
  <si>
    <t>SORBITOL 70% — COMPATIBILIDADE &gt; 40%</t>
  </si>
  <si>
    <t>Componente / Concentração</t>
  </si>
  <si>
    <t>Risco</t>
  </si>
  <si>
    <t>BORATOS @ 1-2% B</t>
  </si>
  <si>
    <t>MUITO BAIXO ✓</t>
  </si>
  <si>
    <t>Excelente sinergia</t>
  </si>
  <si>
    <t>NITRATOS @ 5-10% N</t>
  </si>
  <si>
    <t>Melhora solubilidade</t>
  </si>
  <si>
    <t>ÁCIDO FOSFÓRICO @ 1-2% P</t>
  </si>
  <si>
    <t>MODERADO ⚠</t>
  </si>
  <si>
    <t>Exotérmico ΔT ~5-10°C</t>
  </si>
  <si>
    <t>SULFATOS @ 2-5%</t>
  </si>
  <si>
    <t>BAIXO ✓</t>
  </si>
  <si>
    <t>Compatível</t>
  </si>
  <si>
    <t>QUELATOS (DTPA, EDTA)</t>
  </si>
  <si>
    <t>Sorbitol não quelata</t>
  </si>
  <si>
    <t>AMINOÁCIDOS @ 2-5%</t>
  </si>
  <si>
    <t>Sinergia total</t>
  </si>
  <si>
    <t>SILICATOS @ 1-3% SiO₂</t>
  </si>
  <si>
    <t>Risco &gt; 3% SiO₂</t>
  </si>
  <si>
    <t>Boratos + Nitratos</t>
  </si>
  <si>
    <t>Ideal nutrição foliar</t>
  </si>
  <si>
    <t>Fosfórico + Nitratos</t>
  </si>
  <si>
    <t>TRIPLA MIX (0.8%B + 6%N + 1.5%P)</t>
  </si>
  <si>
    <t>MODERADO-ALTO ⚠⚠</t>
  </si>
  <si>
    <t>Osmolal. 5.8 mOsm</t>
  </si>
  <si>
    <t>SORBITOL 70% — FORNECEDORES (BRASIL)</t>
  </si>
  <si>
    <t>SORBITOL 70% — PERGUNTAS CRÍTICAS (5°C)</t>
  </si>
  <si>
    <t>1. Ponto de congelação exato? Curva viscosidade vs T (-5°C, -10°C)?</t>
  </si>
  <si>
    <t>2. Sorbitol foi cristalizado/redissolvido? Quantos ciclos?</t>
  </si>
  <si>
    <t>3. Tamanho partícula médio (laser diffraction ou SEM)?</t>
  </si>
  <si>
    <t>4. Compatibilidade anti-aglomerantes? Lista de aditivos presentes?</t>
  </si>
  <si>
    <t>5. Histórico armazenamento? T° máxima transporte?</t>
  </si>
  <si>
    <t>6. Teste estabilidade acelerada (5°C / 7-14 dias)?</t>
  </si>
  <si>
    <t>7. Viscosidade exata @ 5°C?</t>
  </si>
  <si>
    <t>8. Certificado ISO 9001? Reprodutibilidade lote-a-lote?</t>
  </si>
  <si>
    <t>9. pH do lote específico? Flutuações?</t>
  </si>
  <si>
    <t>10. Condições ideais armazenamento PÓS-RECEBIMENTO?</t>
  </si>
  <si>
    <t>SORBITOL 70% — TROUBLESHOOTING</t>
  </si>
  <si>
    <t>Viscosidade NÃO reduz após 40min</t>
  </si>
  <si>
    <t>Sorbitol não dissolve (degradado)</t>
  </si>
  <si>
    <t>→ Elevar T 80°C + 15min + RPM 120</t>
  </si>
  <si>
    <t>Cristais visíveis @ 5°C após 2h</t>
  </si>
  <si>
    <t>Resfriamento rápido / nucleação</t>
  </si>
  <si>
    <t>→ Voltar 25°C + resfriar 2°C/h</t>
  </si>
  <si>
    <t>Espuma durante agitação</t>
  </si>
  <si>
    <t>Sorbitol + ar = espuma estável</t>
  </si>
  <si>
    <t>→ Reduzir RPM + antiespumante</t>
  </si>
  <si>
    <t>Cor APHA &gt; 150</t>
  </si>
  <si>
    <t>Degradação térmica ou Fe³⁺</t>
  </si>
  <si>
    <t>→ Revisar T + análise ICP Fe</t>
  </si>
  <si>
    <t>pH &lt; 3.0 bruscamente</t>
  </si>
  <si>
    <t>Adição H₃PO₄ muito rápida</t>
  </si>
  <si>
    <t>→ Parar + NaOH gota-a-gota</t>
  </si>
  <si>
    <t>Pressão vapor &gt; 2.5 bar</t>
  </si>
  <si>
    <t>Válvula entupida ou T elevada</t>
  </si>
  <si>
    <t>→ Fechar vapor + abrir purga</t>
  </si>
  <si>
    <t>SORBITOL 70% — COMPATIBILIDADE (INGREDIENTES)</t>
  </si>
  <si>
    <t>Componente</t>
  </si>
  <si>
    <t>Status</t>
  </si>
  <si>
    <t>Notas</t>
  </si>
  <si>
    <t>Boratos (H₃BO₃)</t>
  </si>
  <si>
    <t>✓ EXCELENTE</t>
  </si>
  <si>
    <t>Nitratos (NH₄NO₃)</t>
  </si>
  <si>
    <t>Melhora absorção</t>
  </si>
  <si>
    <t>Sulfatos (K₂SO₄)</t>
  </si>
  <si>
    <t>Molibdatos</t>
  </si>
  <si>
    <t>Estabiliza</t>
  </si>
  <si>
    <t>Quelatos (DTPA, EDTA)</t>
  </si>
  <si>
    <t>Não compete</t>
  </si>
  <si>
    <t>Ureia</t>
  </si>
  <si>
    <t>Clássica combinação</t>
  </si>
  <si>
    <t>Silicatos (K₂SiO₃)</t>
  </si>
  <si>
    <t>⚠ BOM</t>
  </si>
  <si>
    <t>Até 2-3% SiO₂</t>
  </si>
  <si>
    <t>Surfactantes</t>
  </si>
  <si>
    <t>Melhora umectância</t>
  </si>
  <si>
    <t>Fosfatos (PO₄³⁻)</t>
  </si>
  <si>
    <t>Risco pH &lt; 5</t>
  </si>
  <si>
    <t>Aminoácidos</t>
  </si>
  <si>
    <t>Sinergia máxima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</si>
</sst>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0"/>
    <numFmt numFmtId="165" formatCode="&quot;R$&quot;0.000"/>
    <numFmt numFmtId="166" formatCode="\$#,##0.00"/>
    <numFmt numFmtId="167" formatCode="&quot;R$&quot;#,##0.0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1F4E79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B2F4A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167" fontId="3" fillId="0" borderId="1" xfId="0" applyNumberFormat="1" applyFont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4" customWidth="1"/>
    <col min="2" max="2" width="16" customWidth="1"/>
    <col min="3" max="3" width="10" customWidth="1"/>
    <col min="4" max="4" width="46" customWidth="1"/>
    <col min="5" max="5" width="14" customWidth="1"/>
  </cols>
  <sheetData>
    <row r="1" spans="1:8" ht="22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t="s">
        <v>5</v>
      </c>
      <c r="H1" s="1">
        <v>5</v>
      </c>
    </row>
    <row r="2" spans="1:8" x14ac:dyDescent="0.3">
      <c r="A2" s="3" t="s">
        <v>6</v>
      </c>
      <c r="B2" s="4">
        <v>3.25</v>
      </c>
      <c r="C2" s="3" t="s">
        <v>7</v>
      </c>
      <c r="D2" s="3" t="s">
        <v>8</v>
      </c>
      <c r="E2" s="3" t="s">
        <v>9</v>
      </c>
    </row>
    <row r="3" spans="1:8" x14ac:dyDescent="0.3">
      <c r="A3" s="3" t="s">
        <v>10</v>
      </c>
      <c r="B3" s="4">
        <v>2</v>
      </c>
      <c r="C3" s="3" t="s">
        <v>11</v>
      </c>
      <c r="D3" s="3" t="s">
        <v>8</v>
      </c>
      <c r="E3" s="3" t="s">
        <v>9</v>
      </c>
    </row>
    <row r="4" spans="1:8" x14ac:dyDescent="0.3">
      <c r="A4" s="3" t="s">
        <v>12</v>
      </c>
      <c r="B4" s="4">
        <v>3.5</v>
      </c>
      <c r="C4" s="3" t="s">
        <v>11</v>
      </c>
      <c r="D4" s="3" t="s">
        <v>8</v>
      </c>
      <c r="E4" s="3" t="s">
        <v>9</v>
      </c>
    </row>
    <row r="5" spans="1:8" x14ac:dyDescent="0.3">
      <c r="A5" s="3" t="s">
        <v>13</v>
      </c>
      <c r="B5" s="4">
        <v>3.5</v>
      </c>
      <c r="C5" s="3" t="s">
        <v>7</v>
      </c>
      <c r="D5" s="3" t="s">
        <v>8</v>
      </c>
      <c r="E5" s="3" t="s">
        <v>9</v>
      </c>
    </row>
    <row r="6" spans="1:8" x14ac:dyDescent="0.3">
      <c r="A6" s="3" t="s">
        <v>14</v>
      </c>
      <c r="B6" s="4">
        <v>3.5</v>
      </c>
      <c r="C6" s="3" t="s">
        <v>11</v>
      </c>
      <c r="D6" s="3" t="s">
        <v>8</v>
      </c>
      <c r="E6" s="3" t="s">
        <v>9</v>
      </c>
    </row>
    <row r="7" spans="1:8" x14ac:dyDescent="0.3">
      <c r="A7" s="3" t="s">
        <v>15</v>
      </c>
      <c r="B7" s="4">
        <v>125</v>
      </c>
      <c r="C7" s="3" t="s">
        <v>11</v>
      </c>
      <c r="D7" s="3" t="s">
        <v>8</v>
      </c>
      <c r="E7" s="3" t="s">
        <v>9</v>
      </c>
    </row>
    <row r="8" spans="1:8" x14ac:dyDescent="0.3">
      <c r="A8" s="3" t="s">
        <v>16</v>
      </c>
      <c r="B8" s="4">
        <v>125</v>
      </c>
      <c r="C8" s="3" t="s">
        <v>11</v>
      </c>
      <c r="D8" s="3" t="s">
        <v>8</v>
      </c>
      <c r="E8" s="3" t="s">
        <v>9</v>
      </c>
    </row>
    <row r="9" spans="1:8" x14ac:dyDescent="0.3">
      <c r="A9" s="3" t="s">
        <v>17</v>
      </c>
      <c r="B9" s="4">
        <v>3.5</v>
      </c>
      <c r="C9" s="3" t="s">
        <v>11</v>
      </c>
      <c r="D9" s="3" t="s">
        <v>8</v>
      </c>
      <c r="E9" s="3" t="s">
        <v>9</v>
      </c>
    </row>
    <row r="10" spans="1:8" x14ac:dyDescent="0.3">
      <c r="A10" s="3" t="s">
        <v>18</v>
      </c>
      <c r="B10" s="4">
        <v>3.5</v>
      </c>
      <c r="C10" s="3" t="s">
        <v>11</v>
      </c>
      <c r="D10" s="3" t="s">
        <v>8</v>
      </c>
      <c r="E10" s="3" t="s">
        <v>9</v>
      </c>
    </row>
    <row r="11" spans="1:8" x14ac:dyDescent="0.3">
      <c r="A11" s="3" t="s">
        <v>19</v>
      </c>
      <c r="B11" s="4">
        <v>3.5</v>
      </c>
      <c r="C11" s="3" t="s">
        <v>11</v>
      </c>
      <c r="D11" s="3" t="s">
        <v>8</v>
      </c>
      <c r="E11" s="3" t="s">
        <v>9</v>
      </c>
    </row>
    <row r="12" spans="1:8" x14ac:dyDescent="0.3">
      <c r="A12" s="3" t="s">
        <v>20</v>
      </c>
      <c r="B12" s="4">
        <v>3.25</v>
      </c>
      <c r="C12" s="3" t="s">
        <v>11</v>
      </c>
      <c r="D12" s="3" t="s">
        <v>8</v>
      </c>
      <c r="E12" s="3" t="s">
        <v>9</v>
      </c>
    </row>
    <row r="13" spans="1:8" x14ac:dyDescent="0.3">
      <c r="A13" s="3" t="s">
        <v>21</v>
      </c>
      <c r="B13" s="4">
        <v>3.5</v>
      </c>
      <c r="C13" s="3" t="s">
        <v>11</v>
      </c>
      <c r="D13" s="3" t="s">
        <v>8</v>
      </c>
      <c r="E13" s="3" t="s">
        <v>9</v>
      </c>
    </row>
    <row r="14" spans="1:8" x14ac:dyDescent="0.3">
      <c r="A14" s="3" t="s">
        <v>22</v>
      </c>
      <c r="B14" s="4">
        <v>3.5</v>
      </c>
      <c r="C14" s="3" t="s">
        <v>11</v>
      </c>
      <c r="D14" s="3" t="s">
        <v>8</v>
      </c>
      <c r="E14" s="3" t="s">
        <v>9</v>
      </c>
    </row>
    <row r="15" spans="1:8" x14ac:dyDescent="0.3">
      <c r="A15" s="3" t="s">
        <v>23</v>
      </c>
      <c r="B15" s="4">
        <v>3.25</v>
      </c>
      <c r="C15" s="3" t="s">
        <v>11</v>
      </c>
      <c r="D15" s="3" t="s">
        <v>8</v>
      </c>
      <c r="E15" s="3" t="s">
        <v>9</v>
      </c>
    </row>
    <row r="16" spans="1:8" x14ac:dyDescent="0.3">
      <c r="A16" s="3" t="s">
        <v>24</v>
      </c>
      <c r="B16" s="4">
        <v>125</v>
      </c>
      <c r="C16" s="3" t="s">
        <v>11</v>
      </c>
      <c r="D16" s="3" t="s">
        <v>8</v>
      </c>
      <c r="E16" s="3" t="s">
        <v>9</v>
      </c>
    </row>
    <row r="17" spans="1:5" x14ac:dyDescent="0.3">
      <c r="A17" s="3" t="s">
        <v>25</v>
      </c>
      <c r="B17" s="4">
        <v>3.25</v>
      </c>
      <c r="C17" s="3" t="s">
        <v>11</v>
      </c>
      <c r="D17" s="3" t="s">
        <v>8</v>
      </c>
      <c r="E17" s="3" t="s">
        <v>9</v>
      </c>
    </row>
    <row r="18" spans="1:5" x14ac:dyDescent="0.3">
      <c r="A18" s="3" t="s">
        <v>26</v>
      </c>
      <c r="B18" s="4">
        <v>3.25</v>
      </c>
      <c r="C18" s="3" t="s">
        <v>11</v>
      </c>
      <c r="D18" s="3" t="s">
        <v>8</v>
      </c>
      <c r="E18" s="3" t="s">
        <v>9</v>
      </c>
    </row>
    <row r="19" spans="1:5" x14ac:dyDescent="0.3">
      <c r="A19" s="3" t="s">
        <v>27</v>
      </c>
      <c r="B19" s="4">
        <v>3.25</v>
      </c>
      <c r="C19" s="3" t="s">
        <v>11</v>
      </c>
      <c r="D19" s="3" t="s">
        <v>8</v>
      </c>
      <c r="E19" s="3" t="s">
        <v>9</v>
      </c>
    </row>
    <row r="20" spans="1:5" x14ac:dyDescent="0.3">
      <c r="A20" s="3" t="s">
        <v>28</v>
      </c>
      <c r="B20" s="4">
        <v>3.25</v>
      </c>
      <c r="C20" s="3" t="s">
        <v>11</v>
      </c>
      <c r="D20" s="3" t="s">
        <v>8</v>
      </c>
      <c r="E20" s="3" t="s">
        <v>9</v>
      </c>
    </row>
    <row r="21" spans="1:5" x14ac:dyDescent="0.3">
      <c r="A21" s="3" t="s">
        <v>29</v>
      </c>
      <c r="B21" s="4">
        <v>3.25</v>
      </c>
      <c r="C21" s="3" t="s">
        <v>11</v>
      </c>
      <c r="D21" s="3" t="s">
        <v>8</v>
      </c>
      <c r="E21" s="3" t="s">
        <v>9</v>
      </c>
    </row>
    <row r="22" spans="1:5" x14ac:dyDescent="0.3">
      <c r="A22" s="3" t="s">
        <v>30</v>
      </c>
      <c r="B22" s="4">
        <v>3.25</v>
      </c>
      <c r="C22" s="3" t="s">
        <v>11</v>
      </c>
      <c r="D22" s="3" t="s">
        <v>8</v>
      </c>
      <c r="E22" s="3" t="s">
        <v>9</v>
      </c>
    </row>
    <row r="23" spans="1:5" x14ac:dyDescent="0.3">
      <c r="A23" s="3" t="s">
        <v>31</v>
      </c>
      <c r="B23" s="4">
        <v>3.25</v>
      </c>
      <c r="C23" s="3" t="s">
        <v>11</v>
      </c>
      <c r="D23" s="3" t="s">
        <v>8</v>
      </c>
      <c r="E23" s="3" t="s">
        <v>9</v>
      </c>
    </row>
    <row r="24" spans="1:5" x14ac:dyDescent="0.3">
      <c r="A24" s="3" t="s">
        <v>32</v>
      </c>
      <c r="B24" s="4">
        <v>3.25</v>
      </c>
      <c r="C24" s="3" t="s">
        <v>11</v>
      </c>
      <c r="D24" s="3" t="s">
        <v>8</v>
      </c>
      <c r="E24" s="3" t="s">
        <v>9</v>
      </c>
    </row>
    <row r="25" spans="1:5" x14ac:dyDescent="0.3">
      <c r="A25" s="3" t="s">
        <v>33</v>
      </c>
      <c r="B25" s="4">
        <v>3.5</v>
      </c>
      <c r="C25" s="3" t="s">
        <v>11</v>
      </c>
      <c r="D25" s="3" t="s">
        <v>8</v>
      </c>
      <c r="E25" s="3" t="s">
        <v>9</v>
      </c>
    </row>
    <row r="26" spans="1:5" x14ac:dyDescent="0.3">
      <c r="A26" s="3" t="s">
        <v>34</v>
      </c>
      <c r="B26" s="4">
        <v>3.5</v>
      </c>
      <c r="C26" s="3" t="s">
        <v>11</v>
      </c>
      <c r="D26" s="3" t="s">
        <v>8</v>
      </c>
      <c r="E26" s="3" t="s">
        <v>9</v>
      </c>
    </row>
    <row r="27" spans="1:5" x14ac:dyDescent="0.3">
      <c r="A27" s="3" t="s">
        <v>35</v>
      </c>
      <c r="B27" s="4">
        <v>3.5</v>
      </c>
      <c r="C27" s="3" t="s">
        <v>11</v>
      </c>
      <c r="D27" s="3" t="s">
        <v>8</v>
      </c>
      <c r="E27" s="3" t="s">
        <v>9</v>
      </c>
    </row>
    <row r="28" spans="1:5" x14ac:dyDescent="0.3">
      <c r="A28" s="3" t="s">
        <v>36</v>
      </c>
      <c r="B28" s="4">
        <v>3.5</v>
      </c>
      <c r="C28" s="3" t="s">
        <v>11</v>
      </c>
      <c r="D28" s="3" t="s">
        <v>8</v>
      </c>
      <c r="E28" s="3" t="s">
        <v>9</v>
      </c>
    </row>
    <row r="29" spans="1:5" x14ac:dyDescent="0.3">
      <c r="A29" s="3" t="s">
        <v>37</v>
      </c>
      <c r="B29" s="4">
        <v>3.5</v>
      </c>
      <c r="C29" s="3" t="s">
        <v>11</v>
      </c>
      <c r="D29" s="3" t="s">
        <v>8</v>
      </c>
      <c r="E29" s="3" t="s">
        <v>9</v>
      </c>
    </row>
    <row r="30" spans="1:5" x14ac:dyDescent="0.3">
      <c r="A30" s="3" t="s">
        <v>38</v>
      </c>
      <c r="B30" s="4">
        <v>3.5</v>
      </c>
      <c r="C30" s="3" t="s">
        <v>11</v>
      </c>
      <c r="D30" s="3" t="s">
        <v>8</v>
      </c>
      <c r="E30" s="3" t="s">
        <v>9</v>
      </c>
    </row>
    <row r="31" spans="1:5" x14ac:dyDescent="0.3">
      <c r="A31" s="3" t="s">
        <v>39</v>
      </c>
      <c r="B31" s="4">
        <v>3.5</v>
      </c>
      <c r="C31" s="3" t="s">
        <v>11</v>
      </c>
      <c r="D31" s="3" t="s">
        <v>8</v>
      </c>
      <c r="E31" s="3" t="s">
        <v>9</v>
      </c>
    </row>
    <row r="32" spans="1:5" x14ac:dyDescent="0.3">
      <c r="A32" s="3" t="s">
        <v>40</v>
      </c>
      <c r="B32" s="4">
        <v>3.5</v>
      </c>
      <c r="C32" s="3" t="s">
        <v>11</v>
      </c>
      <c r="D32" s="3" t="s">
        <v>8</v>
      </c>
      <c r="E32" s="3" t="s">
        <v>9</v>
      </c>
    </row>
    <row r="33" spans="1:5" x14ac:dyDescent="0.3">
      <c r="A33" s="3" t="s">
        <v>41</v>
      </c>
      <c r="B33" s="4">
        <v>3.5</v>
      </c>
      <c r="C33" s="3" t="s">
        <v>11</v>
      </c>
      <c r="D33" s="3" t="s">
        <v>8</v>
      </c>
      <c r="E33" s="3" t="s">
        <v>9</v>
      </c>
    </row>
    <row r="34" spans="1:5" x14ac:dyDescent="0.3">
      <c r="A34" s="3" t="s">
        <v>42</v>
      </c>
      <c r="B34" s="4">
        <v>3.5</v>
      </c>
      <c r="C34" s="3" t="s">
        <v>11</v>
      </c>
      <c r="D34" s="3" t="s">
        <v>8</v>
      </c>
      <c r="E34" s="3" t="s">
        <v>9</v>
      </c>
    </row>
    <row r="35" spans="1:5" x14ac:dyDescent="0.3">
      <c r="A35" s="3" t="s">
        <v>43</v>
      </c>
      <c r="B35" s="4">
        <v>3.5</v>
      </c>
      <c r="C35" s="3" t="s">
        <v>11</v>
      </c>
      <c r="D35" s="3" t="s">
        <v>8</v>
      </c>
      <c r="E35" s="3" t="s">
        <v>9</v>
      </c>
    </row>
    <row r="36" spans="1:5" x14ac:dyDescent="0.3">
      <c r="A36" s="3" t="s">
        <v>44</v>
      </c>
      <c r="B36" s="4">
        <v>3.5</v>
      </c>
      <c r="C36" s="3" t="s">
        <v>11</v>
      </c>
      <c r="D36" s="3" t="s">
        <v>8</v>
      </c>
      <c r="E36" s="3" t="s">
        <v>9</v>
      </c>
    </row>
    <row r="37" spans="1:5" x14ac:dyDescent="0.3">
      <c r="A37" s="3" t="s">
        <v>45</v>
      </c>
      <c r="B37" s="4">
        <v>3.25</v>
      </c>
      <c r="C37" s="3" t="s">
        <v>11</v>
      </c>
      <c r="D37" s="3" t="s">
        <v>8</v>
      </c>
      <c r="E37" s="3" t="s">
        <v>9</v>
      </c>
    </row>
    <row r="38" spans="1:5" x14ac:dyDescent="0.3">
      <c r="A38" s="3" t="s">
        <v>46</v>
      </c>
      <c r="B38" s="4">
        <v>3.5</v>
      </c>
      <c r="C38" s="3" t="s">
        <v>11</v>
      </c>
      <c r="D38" s="3" t="s">
        <v>8</v>
      </c>
      <c r="E38" s="3" t="s">
        <v>9</v>
      </c>
    </row>
    <row r="39" spans="1:5" x14ac:dyDescent="0.3">
      <c r="A39" s="3" t="s">
        <v>47</v>
      </c>
      <c r="B39" s="4">
        <v>3.5</v>
      </c>
      <c r="C39" s="3" t="s">
        <v>11</v>
      </c>
      <c r="D39" s="3" t="s">
        <v>8</v>
      </c>
      <c r="E39" s="3" t="s">
        <v>9</v>
      </c>
    </row>
    <row r="40" spans="1:5" x14ac:dyDescent="0.3">
      <c r="A40" s="3" t="s">
        <v>48</v>
      </c>
      <c r="B40" s="4">
        <v>3.25</v>
      </c>
      <c r="C40" s="3" t="s">
        <v>11</v>
      </c>
      <c r="D40" s="3" t="s">
        <v>8</v>
      </c>
      <c r="E40" s="3" t="s">
        <v>9</v>
      </c>
    </row>
    <row r="41" spans="1:5" x14ac:dyDescent="0.3">
      <c r="A41" s="3" t="s">
        <v>49</v>
      </c>
      <c r="B41" s="4">
        <v>3.25</v>
      </c>
      <c r="C41" s="3" t="s">
        <v>11</v>
      </c>
      <c r="D41" s="3" t="s">
        <v>8</v>
      </c>
      <c r="E41" s="3" t="s">
        <v>9</v>
      </c>
    </row>
    <row r="42" spans="1:5" x14ac:dyDescent="0.3">
      <c r="A42" s="3" t="s">
        <v>50</v>
      </c>
      <c r="B42" s="4">
        <v>3.5</v>
      </c>
      <c r="C42" s="3" t="s">
        <v>11</v>
      </c>
      <c r="D42" s="3" t="s">
        <v>8</v>
      </c>
      <c r="E42" s="3" t="s">
        <v>9</v>
      </c>
    </row>
    <row r="43" spans="1:5" x14ac:dyDescent="0.3">
      <c r="A43" s="3" t="s">
        <v>51</v>
      </c>
      <c r="B43" s="4">
        <v>3.5</v>
      </c>
      <c r="C43" s="3" t="s">
        <v>11</v>
      </c>
      <c r="D43" s="3" t="s">
        <v>8</v>
      </c>
      <c r="E43" s="3" t="s">
        <v>9</v>
      </c>
    </row>
    <row r="44" spans="1:5" x14ac:dyDescent="0.3">
      <c r="A44" s="3" t="s">
        <v>52</v>
      </c>
      <c r="B44" s="4">
        <v>3.5</v>
      </c>
      <c r="C44" s="3" t="s">
        <v>11</v>
      </c>
      <c r="D44" s="3" t="s">
        <v>8</v>
      </c>
      <c r="E44" s="3" t="s">
        <v>9</v>
      </c>
    </row>
    <row r="45" spans="1:5" x14ac:dyDescent="0.3">
      <c r="A45" s="3" t="s">
        <v>53</v>
      </c>
      <c r="B45" s="4">
        <v>7.5</v>
      </c>
      <c r="C45" s="3" t="s">
        <v>11</v>
      </c>
      <c r="D45" s="3" t="s">
        <v>8</v>
      </c>
      <c r="E45" s="3" t="s">
        <v>9</v>
      </c>
    </row>
    <row r="46" spans="1:5" x14ac:dyDescent="0.3">
      <c r="A46" s="3" t="s">
        <v>54</v>
      </c>
      <c r="B46" s="4">
        <v>3.25</v>
      </c>
      <c r="C46" s="3" t="s">
        <v>11</v>
      </c>
      <c r="D46" s="3" t="s">
        <v>8</v>
      </c>
      <c r="E46" s="3" t="s">
        <v>9</v>
      </c>
    </row>
    <row r="47" spans="1:5" x14ac:dyDescent="0.3">
      <c r="A47" s="3" t="s">
        <v>55</v>
      </c>
      <c r="B47" s="4">
        <v>3.25</v>
      </c>
      <c r="C47" s="3" t="s">
        <v>11</v>
      </c>
      <c r="D47" s="3" t="s">
        <v>8</v>
      </c>
      <c r="E47" s="3" t="s">
        <v>9</v>
      </c>
    </row>
    <row r="48" spans="1:5" x14ac:dyDescent="0.3">
      <c r="A48" s="3" t="s">
        <v>56</v>
      </c>
      <c r="B48" s="4">
        <v>3.5</v>
      </c>
      <c r="C48" s="3" t="s">
        <v>11</v>
      </c>
      <c r="D48" s="3" t="s">
        <v>8</v>
      </c>
      <c r="E48" s="3" t="s">
        <v>9</v>
      </c>
    </row>
    <row r="49" spans="1:5" x14ac:dyDescent="0.3">
      <c r="A49" s="3" t="s">
        <v>57</v>
      </c>
      <c r="B49" s="4">
        <v>3.25</v>
      </c>
      <c r="C49" s="3" t="s">
        <v>11</v>
      </c>
      <c r="D49" s="3" t="s">
        <v>8</v>
      </c>
      <c r="E49" s="3" t="s">
        <v>9</v>
      </c>
    </row>
    <row r="50" spans="1:5" x14ac:dyDescent="0.3">
      <c r="A50" s="3" t="s">
        <v>58</v>
      </c>
      <c r="B50" s="4">
        <v>3.5</v>
      </c>
      <c r="C50" s="3" t="s">
        <v>11</v>
      </c>
      <c r="D50" s="3" t="s">
        <v>8</v>
      </c>
      <c r="E50" s="3" t="s">
        <v>9</v>
      </c>
    </row>
    <row r="51" spans="1:5" x14ac:dyDescent="0.3">
      <c r="A51" s="3" t="s">
        <v>59</v>
      </c>
      <c r="B51" s="4">
        <v>3.25</v>
      </c>
      <c r="C51" s="3" t="s">
        <v>11</v>
      </c>
      <c r="D51" s="3" t="s">
        <v>8</v>
      </c>
      <c r="E51" s="3" t="s">
        <v>9</v>
      </c>
    </row>
    <row r="52" spans="1:5" x14ac:dyDescent="0.3">
      <c r="A52" s="3" t="s">
        <v>60</v>
      </c>
      <c r="B52" s="4">
        <v>3.5</v>
      </c>
      <c r="C52" s="3" t="s">
        <v>11</v>
      </c>
      <c r="D52" s="3" t="s">
        <v>8</v>
      </c>
      <c r="E52" s="3" t="s">
        <v>9</v>
      </c>
    </row>
    <row r="53" spans="1:5" x14ac:dyDescent="0.3">
      <c r="A53" s="3" t="s">
        <v>61</v>
      </c>
      <c r="B53" s="4">
        <v>3.5</v>
      </c>
      <c r="C53" s="3" t="s">
        <v>11</v>
      </c>
      <c r="D53" s="3" t="s">
        <v>8</v>
      </c>
      <c r="E53" s="3" t="s">
        <v>9</v>
      </c>
    </row>
    <row r="54" spans="1:5" x14ac:dyDescent="0.3">
      <c r="A54" s="3" t="s">
        <v>62</v>
      </c>
      <c r="B54" s="4">
        <v>3.5</v>
      </c>
      <c r="C54" s="3" t="s">
        <v>11</v>
      </c>
      <c r="D54" s="3" t="s">
        <v>8</v>
      </c>
      <c r="E54" s="3" t="s">
        <v>9</v>
      </c>
    </row>
    <row r="55" spans="1:5" x14ac:dyDescent="0.3">
      <c r="A55" s="3" t="s">
        <v>63</v>
      </c>
      <c r="B55" s="4">
        <v>3.5</v>
      </c>
      <c r="C55" s="3" t="s">
        <v>11</v>
      </c>
      <c r="D55" s="3" t="s">
        <v>8</v>
      </c>
      <c r="E55" s="3" t="s">
        <v>9</v>
      </c>
    </row>
    <row r="56" spans="1:5" x14ac:dyDescent="0.3">
      <c r="A56" s="3" t="s">
        <v>64</v>
      </c>
      <c r="B56" s="4">
        <v>3.5</v>
      </c>
      <c r="C56" s="3" t="s">
        <v>11</v>
      </c>
      <c r="D56" s="3" t="s">
        <v>8</v>
      </c>
      <c r="E56" s="3" t="s">
        <v>9</v>
      </c>
    </row>
    <row r="57" spans="1:5" x14ac:dyDescent="0.3">
      <c r="A57" s="3" t="s">
        <v>65</v>
      </c>
      <c r="B57" s="4">
        <v>3.5</v>
      </c>
      <c r="C57" s="3" t="s">
        <v>11</v>
      </c>
      <c r="D57" s="3" t="s">
        <v>8</v>
      </c>
      <c r="E57" s="3" t="s">
        <v>9</v>
      </c>
    </row>
    <row r="58" spans="1:5" x14ac:dyDescent="0.3">
      <c r="A58" s="3" t="s">
        <v>66</v>
      </c>
      <c r="B58" s="4">
        <v>3.5</v>
      </c>
      <c r="C58" s="3" t="s">
        <v>11</v>
      </c>
      <c r="D58" s="3" t="s">
        <v>8</v>
      </c>
      <c r="E58" s="3" t="s">
        <v>9</v>
      </c>
    </row>
    <row r="59" spans="1:5" x14ac:dyDescent="0.3">
      <c r="A59" s="3" t="s">
        <v>67</v>
      </c>
      <c r="B59" s="4">
        <v>3.5</v>
      </c>
      <c r="C59" s="3" t="s">
        <v>11</v>
      </c>
      <c r="D59" s="3" t="s">
        <v>8</v>
      </c>
      <c r="E59" s="3" t="s">
        <v>9</v>
      </c>
    </row>
    <row r="60" spans="1:5" x14ac:dyDescent="0.3">
      <c r="A60" s="3" t="s">
        <v>68</v>
      </c>
      <c r="B60" s="4">
        <v>3.5</v>
      </c>
      <c r="C60" s="3" t="s">
        <v>11</v>
      </c>
      <c r="D60" s="3" t="s">
        <v>8</v>
      </c>
      <c r="E60" s="3" t="s">
        <v>9</v>
      </c>
    </row>
    <row r="61" spans="1:5" x14ac:dyDescent="0.3">
      <c r="A61" s="3" t="s">
        <v>69</v>
      </c>
      <c r="B61" s="4">
        <v>3.5</v>
      </c>
      <c r="C61" s="3" t="s">
        <v>11</v>
      </c>
      <c r="D61" s="3" t="s">
        <v>8</v>
      </c>
      <c r="E61" s="3" t="s">
        <v>9</v>
      </c>
    </row>
    <row r="62" spans="1:5" x14ac:dyDescent="0.3">
      <c r="A62" s="3" t="s">
        <v>70</v>
      </c>
      <c r="B62" s="4">
        <v>3.5</v>
      </c>
      <c r="C62" s="3" t="s">
        <v>11</v>
      </c>
      <c r="D62" s="3" t="s">
        <v>8</v>
      </c>
      <c r="E62" s="3" t="s">
        <v>9</v>
      </c>
    </row>
    <row r="63" spans="1:5" x14ac:dyDescent="0.3">
      <c r="A63" s="3" t="s">
        <v>71</v>
      </c>
      <c r="B63" s="4">
        <v>3.5</v>
      </c>
      <c r="C63" s="3" t="s">
        <v>11</v>
      </c>
      <c r="D63" s="3" t="s">
        <v>8</v>
      </c>
      <c r="E63" s="3" t="s">
        <v>9</v>
      </c>
    </row>
    <row r="64" spans="1:5" x14ac:dyDescent="0.3">
      <c r="A64" s="3" t="s">
        <v>72</v>
      </c>
      <c r="B64" s="4">
        <v>3.5</v>
      </c>
      <c r="C64" s="3" t="s">
        <v>11</v>
      </c>
      <c r="D64" s="3" t="s">
        <v>8</v>
      </c>
      <c r="E64" s="3" t="s">
        <v>9</v>
      </c>
    </row>
    <row r="65" spans="1:5" x14ac:dyDescent="0.3">
      <c r="A65" s="3" t="s">
        <v>73</v>
      </c>
      <c r="B65" s="4">
        <v>3.5</v>
      </c>
      <c r="C65" s="3" t="s">
        <v>11</v>
      </c>
      <c r="D65" s="3" t="s">
        <v>8</v>
      </c>
      <c r="E65" s="3" t="s">
        <v>9</v>
      </c>
    </row>
    <row r="66" spans="1:5" x14ac:dyDescent="0.3">
      <c r="A66" s="3" t="s">
        <v>74</v>
      </c>
      <c r="B66" s="4">
        <v>3.5</v>
      </c>
      <c r="C66" s="3" t="s">
        <v>11</v>
      </c>
      <c r="D66" s="3" t="s">
        <v>8</v>
      </c>
      <c r="E66" s="3" t="s">
        <v>9</v>
      </c>
    </row>
    <row r="67" spans="1:5" x14ac:dyDescent="0.3">
      <c r="A67" s="3" t="s">
        <v>75</v>
      </c>
      <c r="B67" s="4">
        <v>3.5</v>
      </c>
      <c r="C67" s="3" t="s">
        <v>11</v>
      </c>
      <c r="D67" s="3" t="s">
        <v>8</v>
      </c>
      <c r="E67" s="3" t="s">
        <v>9</v>
      </c>
    </row>
    <row r="68" spans="1:5" x14ac:dyDescent="0.3">
      <c r="A68" s="3" t="s">
        <v>76</v>
      </c>
      <c r="B68" s="4">
        <v>3.5</v>
      </c>
      <c r="C68" s="3" t="s">
        <v>11</v>
      </c>
      <c r="D68" s="3" t="s">
        <v>8</v>
      </c>
      <c r="E68" s="3" t="s">
        <v>9</v>
      </c>
    </row>
    <row r="69" spans="1:5" x14ac:dyDescent="0.3">
      <c r="A69" s="3" t="s">
        <v>77</v>
      </c>
      <c r="B69" s="4">
        <v>3.5</v>
      </c>
      <c r="C69" s="3" t="s">
        <v>11</v>
      </c>
      <c r="D69" s="3" t="s">
        <v>8</v>
      </c>
      <c r="E69" s="3" t="s">
        <v>9</v>
      </c>
    </row>
    <row r="70" spans="1:5" x14ac:dyDescent="0.3">
      <c r="A70" s="3" t="s">
        <v>78</v>
      </c>
      <c r="B70" s="4">
        <v>3.5</v>
      </c>
      <c r="C70" s="3" t="s">
        <v>11</v>
      </c>
      <c r="D70" s="3" t="s">
        <v>8</v>
      </c>
      <c r="E70" s="3" t="s">
        <v>9</v>
      </c>
    </row>
    <row r="71" spans="1:5" x14ac:dyDescent="0.3">
      <c r="A71" s="3" t="s">
        <v>79</v>
      </c>
      <c r="B71" s="4">
        <v>3.5</v>
      </c>
      <c r="C71" s="3" t="s">
        <v>11</v>
      </c>
      <c r="D71" s="3" t="s">
        <v>8</v>
      </c>
      <c r="E71" s="3" t="s">
        <v>9</v>
      </c>
    </row>
    <row r="72" spans="1:5" x14ac:dyDescent="0.3">
      <c r="A72" s="3" t="s">
        <v>80</v>
      </c>
      <c r="B72" s="4">
        <v>3.5</v>
      </c>
      <c r="C72" s="3" t="s">
        <v>11</v>
      </c>
      <c r="D72" s="3" t="s">
        <v>8</v>
      </c>
      <c r="E72" s="3" t="s">
        <v>9</v>
      </c>
    </row>
    <row r="73" spans="1:5" x14ac:dyDescent="0.3">
      <c r="A73" s="3" t="s">
        <v>81</v>
      </c>
      <c r="B73" s="4">
        <v>30</v>
      </c>
      <c r="C73" s="3" t="s">
        <v>7</v>
      </c>
      <c r="D73" s="3" t="s">
        <v>82</v>
      </c>
      <c r="E73" s="3" t="s">
        <v>9</v>
      </c>
    </row>
    <row r="74" spans="1:5" ht="26.4" x14ac:dyDescent="0.3">
      <c r="A74" s="3" t="s">
        <v>83</v>
      </c>
      <c r="B74" s="4">
        <v>400</v>
      </c>
      <c r="C74" s="3" t="s">
        <v>7</v>
      </c>
      <c r="D74" s="3" t="s">
        <v>82</v>
      </c>
      <c r="E74" s="3" t="s">
        <v>9</v>
      </c>
    </row>
    <row r="75" spans="1:5" ht="26.4" x14ac:dyDescent="0.3">
      <c r="A75" s="3" t="s">
        <v>84</v>
      </c>
      <c r="B75" s="4">
        <v>30</v>
      </c>
      <c r="C75" s="3" t="s">
        <v>7</v>
      </c>
      <c r="D75" s="3" t="s">
        <v>82</v>
      </c>
      <c r="E75" s="3" t="s">
        <v>9</v>
      </c>
    </row>
    <row r="76" spans="1:5" ht="26.4" x14ac:dyDescent="0.3">
      <c r="A76" s="3" t="s">
        <v>85</v>
      </c>
      <c r="B76" s="4">
        <v>30</v>
      </c>
      <c r="C76" s="3" t="s">
        <v>7</v>
      </c>
      <c r="D76" s="3" t="s">
        <v>82</v>
      </c>
      <c r="E76" s="3" t="s">
        <v>9</v>
      </c>
    </row>
    <row r="77" spans="1:5" x14ac:dyDescent="0.3">
      <c r="A77" s="3" t="s">
        <v>86</v>
      </c>
      <c r="B77" s="4">
        <v>30</v>
      </c>
      <c r="C77" s="3" t="s">
        <v>11</v>
      </c>
      <c r="D77" s="3" t="s">
        <v>82</v>
      </c>
      <c r="E77" s="3" t="s">
        <v>9</v>
      </c>
    </row>
    <row r="78" spans="1:5" ht="26.4" x14ac:dyDescent="0.3">
      <c r="A78" s="3" t="s">
        <v>87</v>
      </c>
      <c r="B78" s="4">
        <v>6.5</v>
      </c>
      <c r="C78" s="3" t="s">
        <v>11</v>
      </c>
      <c r="D78" s="3" t="s">
        <v>88</v>
      </c>
      <c r="E78" s="3" t="s">
        <v>9</v>
      </c>
    </row>
    <row r="79" spans="1:5" x14ac:dyDescent="0.3">
      <c r="A79" s="3" t="s">
        <v>89</v>
      </c>
      <c r="B79" s="4">
        <v>30</v>
      </c>
      <c r="C79" s="3" t="s">
        <v>11</v>
      </c>
      <c r="D79" s="3" t="s">
        <v>82</v>
      </c>
      <c r="E79" s="3" t="s">
        <v>9</v>
      </c>
    </row>
    <row r="80" spans="1:5" ht="26.4" x14ac:dyDescent="0.3">
      <c r="A80" s="3" t="s">
        <v>90</v>
      </c>
      <c r="B80" s="4">
        <v>30</v>
      </c>
      <c r="C80" s="3" t="s">
        <v>11</v>
      </c>
      <c r="D80" s="3" t="s">
        <v>82</v>
      </c>
      <c r="E80" s="3" t="s">
        <v>9</v>
      </c>
    </row>
    <row r="81" spans="1:5" x14ac:dyDescent="0.3">
      <c r="A81" s="3" t="s">
        <v>91</v>
      </c>
      <c r="B81" s="4">
        <v>30</v>
      </c>
      <c r="C81" s="3" t="s">
        <v>11</v>
      </c>
      <c r="D81" s="3" t="s">
        <v>82</v>
      </c>
      <c r="E81" s="3" t="s">
        <v>9</v>
      </c>
    </row>
    <row r="82" spans="1:5" x14ac:dyDescent="0.3">
      <c r="A82" s="3" t="s">
        <v>92</v>
      </c>
      <c r="B82" s="4">
        <v>22.5</v>
      </c>
      <c r="C82" s="3" t="s">
        <v>11</v>
      </c>
      <c r="D82" s="3" t="s">
        <v>82</v>
      </c>
      <c r="E82" s="3" t="s">
        <v>9</v>
      </c>
    </row>
    <row r="83" spans="1:5" ht="26.4" x14ac:dyDescent="0.3">
      <c r="A83" s="3" t="s">
        <v>93</v>
      </c>
      <c r="B83" s="4">
        <v>22.5</v>
      </c>
      <c r="C83" s="3" t="s">
        <v>7</v>
      </c>
      <c r="D83" s="3" t="s">
        <v>82</v>
      </c>
      <c r="E83" s="3" t="s">
        <v>9</v>
      </c>
    </row>
    <row r="84" spans="1:5" ht="26.4" x14ac:dyDescent="0.3">
      <c r="A84" s="3" t="s">
        <v>94</v>
      </c>
      <c r="B84" s="4">
        <v>22.5</v>
      </c>
      <c r="C84" s="3" t="s">
        <v>11</v>
      </c>
      <c r="D84" s="3" t="s">
        <v>82</v>
      </c>
      <c r="E84" s="3" t="s">
        <v>9</v>
      </c>
    </row>
    <row r="85" spans="1:5" x14ac:dyDescent="0.3">
      <c r="A85" s="3" t="s">
        <v>95</v>
      </c>
      <c r="B85" s="4">
        <v>9</v>
      </c>
      <c r="C85" s="3" t="s">
        <v>11</v>
      </c>
      <c r="D85" s="3" t="s">
        <v>82</v>
      </c>
      <c r="E85" s="3" t="s">
        <v>9</v>
      </c>
    </row>
    <row r="86" spans="1:5" x14ac:dyDescent="0.3">
      <c r="A86" s="3" t="s">
        <v>96</v>
      </c>
      <c r="B86" s="4">
        <v>9</v>
      </c>
      <c r="C86" s="3" t="s">
        <v>11</v>
      </c>
      <c r="D86" s="3" t="s">
        <v>82</v>
      </c>
      <c r="E86" s="3" t="s">
        <v>9</v>
      </c>
    </row>
    <row r="87" spans="1:5" x14ac:dyDescent="0.3">
      <c r="A87" s="3" t="s">
        <v>97</v>
      </c>
      <c r="B87" s="4">
        <v>300</v>
      </c>
      <c r="C87" s="3" t="s">
        <v>11</v>
      </c>
      <c r="D87" s="3" t="s">
        <v>82</v>
      </c>
      <c r="E87" s="3" t="s">
        <v>9</v>
      </c>
    </row>
    <row r="88" spans="1:5" x14ac:dyDescent="0.3">
      <c r="A88" s="3" t="s">
        <v>98</v>
      </c>
      <c r="B88" s="4">
        <v>30</v>
      </c>
      <c r="C88" s="3" t="s">
        <v>11</v>
      </c>
      <c r="D88" s="3" t="s">
        <v>82</v>
      </c>
      <c r="E88" s="3" t="s">
        <v>9</v>
      </c>
    </row>
    <row r="89" spans="1:5" ht="26.4" x14ac:dyDescent="0.3">
      <c r="A89" s="3" t="s">
        <v>99</v>
      </c>
      <c r="B89" s="4">
        <v>22.5</v>
      </c>
      <c r="C89" s="3" t="s">
        <v>7</v>
      </c>
      <c r="D89" s="3" t="s">
        <v>82</v>
      </c>
      <c r="E89" s="3" t="s">
        <v>9</v>
      </c>
    </row>
    <row r="90" spans="1:5" ht="26.4" x14ac:dyDescent="0.3">
      <c r="A90" s="3" t="s">
        <v>100</v>
      </c>
      <c r="B90" s="4">
        <v>9</v>
      </c>
      <c r="C90" s="3" t="s">
        <v>7</v>
      </c>
      <c r="D90" s="3" t="s">
        <v>82</v>
      </c>
      <c r="E90" s="3" t="s">
        <v>9</v>
      </c>
    </row>
    <row r="91" spans="1:5" x14ac:dyDescent="0.3">
      <c r="A91" s="3" t="s">
        <v>101</v>
      </c>
      <c r="B91" s="4">
        <v>30</v>
      </c>
      <c r="C91" s="3" t="s">
        <v>11</v>
      </c>
      <c r="D91" s="3" t="s">
        <v>82</v>
      </c>
      <c r="E91" s="3" t="s">
        <v>9</v>
      </c>
    </row>
    <row r="92" spans="1:5" ht="26.4" x14ac:dyDescent="0.3">
      <c r="A92" s="3" t="s">
        <v>102</v>
      </c>
      <c r="B92" s="4">
        <v>22.5</v>
      </c>
      <c r="C92" s="3" t="s">
        <v>7</v>
      </c>
      <c r="D92" s="3" t="s">
        <v>82</v>
      </c>
      <c r="E92" s="3" t="s">
        <v>9</v>
      </c>
    </row>
    <row r="93" spans="1:5" x14ac:dyDescent="0.3">
      <c r="A93" s="3" t="s">
        <v>103</v>
      </c>
      <c r="B93" s="4">
        <v>22.5</v>
      </c>
      <c r="C93" s="3" t="s">
        <v>11</v>
      </c>
      <c r="D93" s="3" t="s">
        <v>82</v>
      </c>
      <c r="E93" s="3" t="s">
        <v>9</v>
      </c>
    </row>
    <row r="94" spans="1:5" ht="26.4" x14ac:dyDescent="0.3">
      <c r="A94" s="3" t="s">
        <v>104</v>
      </c>
      <c r="B94" s="4">
        <v>5.8999999999999986</v>
      </c>
      <c r="C94" s="3" t="s">
        <v>11</v>
      </c>
      <c r="D94" s="3" t="s">
        <v>105</v>
      </c>
      <c r="E94" s="3" t="s">
        <v>9</v>
      </c>
    </row>
    <row r="95" spans="1:5" x14ac:dyDescent="0.3">
      <c r="A95" s="3" t="s">
        <v>106</v>
      </c>
      <c r="B95" s="4">
        <v>30</v>
      </c>
      <c r="C95" s="3" t="s">
        <v>11</v>
      </c>
      <c r="D95" s="3" t="s">
        <v>82</v>
      </c>
      <c r="E95" s="3" t="s">
        <v>9</v>
      </c>
    </row>
    <row r="96" spans="1:5" x14ac:dyDescent="0.3">
      <c r="A96" s="3" t="s">
        <v>107</v>
      </c>
      <c r="B96" s="4">
        <v>22.5</v>
      </c>
      <c r="C96" s="3" t="s">
        <v>11</v>
      </c>
      <c r="D96" s="3" t="s">
        <v>82</v>
      </c>
      <c r="E96" s="3" t="s">
        <v>9</v>
      </c>
    </row>
    <row r="97" spans="1:5" x14ac:dyDescent="0.3">
      <c r="A97" s="3" t="s">
        <v>108</v>
      </c>
      <c r="B97" s="4">
        <v>30</v>
      </c>
      <c r="C97" s="3" t="s">
        <v>11</v>
      </c>
      <c r="D97" s="3" t="s">
        <v>82</v>
      </c>
      <c r="E97" s="3" t="s">
        <v>9</v>
      </c>
    </row>
    <row r="98" spans="1:5" ht="26.4" x14ac:dyDescent="0.3">
      <c r="A98" s="3" t="s">
        <v>109</v>
      </c>
      <c r="B98" s="4">
        <v>9</v>
      </c>
      <c r="C98" s="3" t="s">
        <v>11</v>
      </c>
      <c r="D98" s="3" t="s">
        <v>82</v>
      </c>
      <c r="E98" s="3" t="s">
        <v>9</v>
      </c>
    </row>
    <row r="99" spans="1:5" ht="39.6" x14ac:dyDescent="0.3">
      <c r="A99" s="3" t="s">
        <v>110</v>
      </c>
      <c r="B99" s="4">
        <v>6.75</v>
      </c>
      <c r="C99" s="3" t="s">
        <v>11</v>
      </c>
      <c r="D99" s="3" t="s">
        <v>111</v>
      </c>
      <c r="E99" s="3" t="s">
        <v>9</v>
      </c>
    </row>
    <row r="100" spans="1:5" x14ac:dyDescent="0.3">
      <c r="A100" s="3" t="s">
        <v>112</v>
      </c>
      <c r="B100" s="4">
        <v>300</v>
      </c>
      <c r="C100" s="3" t="s">
        <v>11</v>
      </c>
      <c r="D100" s="3" t="s">
        <v>82</v>
      </c>
      <c r="E100" s="3" t="s">
        <v>9</v>
      </c>
    </row>
    <row r="101" spans="1:5" ht="26.4" x14ac:dyDescent="0.3">
      <c r="A101" s="3" t="s">
        <v>113</v>
      </c>
      <c r="B101" s="4">
        <v>3.5</v>
      </c>
      <c r="C101" s="3" t="s">
        <v>7</v>
      </c>
      <c r="D101" s="3" t="s">
        <v>114</v>
      </c>
      <c r="E101" s="3" t="s">
        <v>9</v>
      </c>
    </row>
    <row r="102" spans="1:5" ht="26.4" x14ac:dyDescent="0.3">
      <c r="A102" s="3" t="s">
        <v>115</v>
      </c>
      <c r="B102" s="4">
        <v>6.5</v>
      </c>
      <c r="C102" s="3" t="s">
        <v>7</v>
      </c>
      <c r="D102" s="3" t="s">
        <v>116</v>
      </c>
      <c r="E102" s="3" t="s">
        <v>9</v>
      </c>
    </row>
    <row r="103" spans="1:5" ht="26.4" x14ac:dyDescent="0.3">
      <c r="A103" s="3" t="s">
        <v>117</v>
      </c>
      <c r="B103" s="4">
        <v>22.5</v>
      </c>
      <c r="C103" s="3" t="s">
        <v>7</v>
      </c>
      <c r="D103" s="3" t="s">
        <v>82</v>
      </c>
      <c r="E103" s="3" t="s">
        <v>9</v>
      </c>
    </row>
    <row r="104" spans="1:5" ht="66" x14ac:dyDescent="0.3">
      <c r="A104" s="3" t="s">
        <v>118</v>
      </c>
      <c r="B104" s="4">
        <v>6.75</v>
      </c>
      <c r="C104" s="3" t="s">
        <v>7</v>
      </c>
      <c r="D104" s="3" t="s">
        <v>119</v>
      </c>
      <c r="E104" s="3" t="s">
        <v>9</v>
      </c>
    </row>
    <row r="105" spans="1:5" x14ac:dyDescent="0.3">
      <c r="A105" s="3" t="s">
        <v>120</v>
      </c>
      <c r="B105" s="4">
        <v>30</v>
      </c>
      <c r="C105" s="3" t="s">
        <v>11</v>
      </c>
      <c r="D105" s="3" t="s">
        <v>82</v>
      </c>
      <c r="E105" s="3" t="s">
        <v>9</v>
      </c>
    </row>
    <row r="106" spans="1:5" x14ac:dyDescent="0.3">
      <c r="A106" s="3" t="s">
        <v>121</v>
      </c>
      <c r="B106" s="4">
        <v>22.5</v>
      </c>
      <c r="C106" s="3" t="s">
        <v>7</v>
      </c>
      <c r="D106" s="3" t="s">
        <v>82</v>
      </c>
      <c r="E106" s="3" t="s">
        <v>9</v>
      </c>
    </row>
    <row r="107" spans="1:5" ht="26.4" x14ac:dyDescent="0.3">
      <c r="A107" s="3" t="s">
        <v>122</v>
      </c>
      <c r="B107" s="4">
        <v>25</v>
      </c>
      <c r="C107" s="3" t="s">
        <v>7</v>
      </c>
      <c r="D107" s="3" t="s">
        <v>82</v>
      </c>
      <c r="E107" s="3" t="s">
        <v>9</v>
      </c>
    </row>
    <row r="108" spans="1:5" x14ac:dyDescent="0.3">
      <c r="A108" s="3" t="s">
        <v>123</v>
      </c>
      <c r="B108" s="4">
        <v>22.5</v>
      </c>
      <c r="C108" s="3" t="s">
        <v>7</v>
      </c>
      <c r="D108" s="3" t="s">
        <v>82</v>
      </c>
      <c r="E108" s="3" t="s">
        <v>9</v>
      </c>
    </row>
    <row r="109" spans="1:5" x14ac:dyDescent="0.3">
      <c r="A109" s="3" t="s">
        <v>124</v>
      </c>
      <c r="B109" s="4">
        <v>22.5</v>
      </c>
      <c r="C109" s="3" t="s">
        <v>7</v>
      </c>
      <c r="D109" s="3" t="s">
        <v>82</v>
      </c>
      <c r="E109" s="3" t="s">
        <v>9</v>
      </c>
    </row>
    <row r="110" spans="1:5" ht="26.4" x14ac:dyDescent="0.3">
      <c r="A110" s="3" t="s">
        <v>125</v>
      </c>
      <c r="B110" s="4">
        <v>5.8999999999999986</v>
      </c>
      <c r="C110" s="3" t="s">
        <v>7</v>
      </c>
      <c r="D110" s="3" t="s">
        <v>105</v>
      </c>
      <c r="E110" s="3" t="s">
        <v>9</v>
      </c>
    </row>
    <row r="111" spans="1:5" x14ac:dyDescent="0.3">
      <c r="A111" s="3" t="s">
        <v>126</v>
      </c>
      <c r="B111" s="4">
        <v>9</v>
      </c>
      <c r="C111" s="3" t="s">
        <v>11</v>
      </c>
      <c r="D111" s="3" t="s">
        <v>82</v>
      </c>
      <c r="E111" s="3" t="s">
        <v>9</v>
      </c>
    </row>
    <row r="112" spans="1:5" ht="26.4" x14ac:dyDescent="0.3">
      <c r="A112" s="3" t="s">
        <v>127</v>
      </c>
      <c r="B112" s="4">
        <v>30</v>
      </c>
      <c r="C112" s="3" t="s">
        <v>11</v>
      </c>
      <c r="D112" s="3" t="s">
        <v>82</v>
      </c>
      <c r="E112" s="3" t="s">
        <v>9</v>
      </c>
    </row>
    <row r="113" spans="1:5" ht="26.4" x14ac:dyDescent="0.3">
      <c r="A113" s="3" t="s">
        <v>128</v>
      </c>
      <c r="B113" s="4">
        <v>9</v>
      </c>
      <c r="C113" s="3" t="s">
        <v>7</v>
      </c>
      <c r="D113" s="3" t="s">
        <v>82</v>
      </c>
      <c r="E113" s="3" t="s">
        <v>9</v>
      </c>
    </row>
    <row r="114" spans="1:5" ht="26.4" x14ac:dyDescent="0.3">
      <c r="A114" s="3" t="s">
        <v>129</v>
      </c>
      <c r="B114" s="4">
        <v>75</v>
      </c>
      <c r="C114" s="3" t="s">
        <v>7</v>
      </c>
      <c r="D114" s="3" t="s">
        <v>82</v>
      </c>
      <c r="E114" s="3" t="s">
        <v>9</v>
      </c>
    </row>
    <row r="115" spans="1:5" x14ac:dyDescent="0.3">
      <c r="A115" s="3" t="s">
        <v>130</v>
      </c>
      <c r="B115" s="4">
        <v>20</v>
      </c>
      <c r="C115" s="3" t="s">
        <v>11</v>
      </c>
      <c r="D115" s="3" t="s">
        <v>82</v>
      </c>
      <c r="E115" s="3" t="s">
        <v>9</v>
      </c>
    </row>
    <row r="116" spans="1:5" x14ac:dyDescent="0.3">
      <c r="A116" s="3" t="s">
        <v>131</v>
      </c>
      <c r="B116" s="4">
        <v>9</v>
      </c>
      <c r="C116" s="3" t="s">
        <v>11</v>
      </c>
      <c r="D116" s="3" t="s">
        <v>82</v>
      </c>
      <c r="E116" s="3" t="s">
        <v>9</v>
      </c>
    </row>
    <row r="117" spans="1:5" ht="26.4" x14ac:dyDescent="0.3">
      <c r="A117" s="3" t="s">
        <v>132</v>
      </c>
      <c r="B117" s="4">
        <v>75</v>
      </c>
      <c r="C117" s="3" t="s">
        <v>7</v>
      </c>
      <c r="D117" s="3" t="s">
        <v>82</v>
      </c>
      <c r="E117" s="3" t="s">
        <v>9</v>
      </c>
    </row>
    <row r="118" spans="1:5" x14ac:dyDescent="0.3">
      <c r="A118" s="3" t="s">
        <v>133</v>
      </c>
      <c r="B118" s="4">
        <v>30</v>
      </c>
      <c r="C118" s="3" t="s">
        <v>11</v>
      </c>
      <c r="D118" s="3" t="s">
        <v>82</v>
      </c>
      <c r="E118" s="3" t="s">
        <v>9</v>
      </c>
    </row>
    <row r="119" spans="1:5" x14ac:dyDescent="0.3">
      <c r="A119" s="3" t="s">
        <v>134</v>
      </c>
      <c r="B119" s="4">
        <v>20</v>
      </c>
      <c r="C119" s="3" t="s">
        <v>11</v>
      </c>
      <c r="D119" s="3" t="s">
        <v>82</v>
      </c>
      <c r="E119" s="3" t="s">
        <v>9</v>
      </c>
    </row>
    <row r="120" spans="1:5" x14ac:dyDescent="0.3">
      <c r="A120" s="3" t="s">
        <v>135</v>
      </c>
      <c r="B120" s="4">
        <v>9</v>
      </c>
      <c r="C120" s="3" t="s">
        <v>7</v>
      </c>
      <c r="D120" s="3" t="s">
        <v>82</v>
      </c>
      <c r="E120" s="3" t="s">
        <v>9</v>
      </c>
    </row>
    <row r="121" spans="1:5" x14ac:dyDescent="0.3">
      <c r="A121" s="3" t="s">
        <v>136</v>
      </c>
      <c r="B121" s="4">
        <v>9</v>
      </c>
      <c r="C121" s="3" t="s">
        <v>11</v>
      </c>
      <c r="D121" s="3" t="s">
        <v>82</v>
      </c>
      <c r="E121" s="3" t="s">
        <v>9</v>
      </c>
    </row>
    <row r="122" spans="1:5" x14ac:dyDescent="0.3">
      <c r="A122" s="3" t="s">
        <v>137</v>
      </c>
      <c r="B122" s="4">
        <v>30</v>
      </c>
      <c r="C122" s="3" t="s">
        <v>11</v>
      </c>
      <c r="D122" s="3" t="s">
        <v>82</v>
      </c>
      <c r="E122" s="3" t="s">
        <v>9</v>
      </c>
    </row>
    <row r="123" spans="1:5" x14ac:dyDescent="0.3">
      <c r="A123" s="3" t="s">
        <v>138</v>
      </c>
      <c r="B123" s="4">
        <v>9</v>
      </c>
      <c r="C123" s="3" t="s">
        <v>11</v>
      </c>
      <c r="D123" s="3" t="s">
        <v>82</v>
      </c>
      <c r="E123" s="3" t="s">
        <v>9</v>
      </c>
    </row>
    <row r="124" spans="1:5" x14ac:dyDescent="0.3">
      <c r="A124" s="3" t="s">
        <v>139</v>
      </c>
      <c r="B124" s="4">
        <v>30</v>
      </c>
      <c r="C124" s="3" t="s">
        <v>11</v>
      </c>
      <c r="D124" s="3" t="s">
        <v>82</v>
      </c>
      <c r="E124" s="3" t="s">
        <v>9</v>
      </c>
    </row>
    <row r="125" spans="1:5" x14ac:dyDescent="0.3">
      <c r="A125" s="3" t="s">
        <v>140</v>
      </c>
      <c r="B125" s="4">
        <v>20</v>
      </c>
      <c r="C125" s="3" t="s">
        <v>11</v>
      </c>
      <c r="D125" s="3" t="s">
        <v>82</v>
      </c>
      <c r="E125" s="3" t="s">
        <v>9</v>
      </c>
    </row>
    <row r="126" spans="1:5" ht="52.8" x14ac:dyDescent="0.3">
      <c r="A126" s="3" t="s">
        <v>141</v>
      </c>
      <c r="B126" s="4">
        <v>6</v>
      </c>
      <c r="C126" s="3" t="s">
        <v>7</v>
      </c>
      <c r="D126" s="3" t="s">
        <v>142</v>
      </c>
      <c r="E126" s="3" t="s">
        <v>9</v>
      </c>
    </row>
    <row r="127" spans="1:5" ht="52.8" x14ac:dyDescent="0.3">
      <c r="A127" s="3" t="s">
        <v>143</v>
      </c>
      <c r="B127" s="4">
        <v>6</v>
      </c>
      <c r="C127" s="3" t="s">
        <v>11</v>
      </c>
      <c r="D127" s="3" t="s">
        <v>142</v>
      </c>
      <c r="E127" s="3" t="s">
        <v>9</v>
      </c>
    </row>
    <row r="128" spans="1:5" x14ac:dyDescent="0.3">
      <c r="A128" s="3" t="s">
        <v>144</v>
      </c>
      <c r="B128" s="4">
        <v>30</v>
      </c>
      <c r="C128" s="3" t="s">
        <v>11</v>
      </c>
      <c r="D128" s="3" t="s">
        <v>82</v>
      </c>
      <c r="E128" s="3" t="s">
        <v>9</v>
      </c>
    </row>
    <row r="129" spans="1:5" x14ac:dyDescent="0.3">
      <c r="A129" s="3" t="s">
        <v>145</v>
      </c>
      <c r="B129" s="4">
        <v>30</v>
      </c>
      <c r="C129" s="3" t="s">
        <v>11</v>
      </c>
      <c r="D129" s="3" t="s">
        <v>82</v>
      </c>
      <c r="E129" s="3" t="s">
        <v>9</v>
      </c>
    </row>
    <row r="130" spans="1:5" x14ac:dyDescent="0.3">
      <c r="A130" s="3" t="s">
        <v>146</v>
      </c>
      <c r="B130" s="4">
        <v>30</v>
      </c>
      <c r="C130" s="3" t="s">
        <v>11</v>
      </c>
      <c r="D130" s="3" t="s">
        <v>82</v>
      </c>
      <c r="E130" s="3" t="s">
        <v>9</v>
      </c>
    </row>
    <row r="131" spans="1:5" ht="39.6" x14ac:dyDescent="0.3">
      <c r="A131" s="3" t="s">
        <v>147</v>
      </c>
      <c r="B131" s="4">
        <v>13</v>
      </c>
      <c r="C131" s="3" t="s">
        <v>7</v>
      </c>
      <c r="D131" s="3" t="s">
        <v>148</v>
      </c>
      <c r="E131" s="3" t="s">
        <v>9</v>
      </c>
    </row>
    <row r="132" spans="1:5" ht="26.4" x14ac:dyDescent="0.3">
      <c r="A132" s="3" t="s">
        <v>149</v>
      </c>
      <c r="B132" s="4">
        <v>72.5</v>
      </c>
      <c r="C132" s="3" t="s">
        <v>7</v>
      </c>
      <c r="D132" s="3" t="s">
        <v>150</v>
      </c>
      <c r="E132" s="3" t="s">
        <v>9</v>
      </c>
    </row>
    <row r="133" spans="1:5" x14ac:dyDescent="0.3">
      <c r="A133" s="3" t="s">
        <v>151</v>
      </c>
      <c r="B133" s="4">
        <v>30</v>
      </c>
      <c r="C133" s="3" t="s">
        <v>11</v>
      </c>
      <c r="D133" s="3" t="s">
        <v>82</v>
      </c>
      <c r="E133" s="3" t="s">
        <v>9</v>
      </c>
    </row>
    <row r="134" spans="1:5" x14ac:dyDescent="0.3">
      <c r="A134" s="3" t="s">
        <v>152</v>
      </c>
      <c r="B134" s="4">
        <v>30</v>
      </c>
      <c r="C134" s="3" t="s">
        <v>11</v>
      </c>
      <c r="D134" s="3" t="s">
        <v>82</v>
      </c>
      <c r="E134" s="3" t="s">
        <v>9</v>
      </c>
    </row>
    <row r="135" spans="1:5" x14ac:dyDescent="0.3">
      <c r="A135" s="3" t="s">
        <v>153</v>
      </c>
      <c r="B135" s="4">
        <v>30</v>
      </c>
      <c r="C135" s="3" t="s">
        <v>7</v>
      </c>
      <c r="D135" s="3" t="s">
        <v>82</v>
      </c>
      <c r="E135" s="3" t="s">
        <v>9</v>
      </c>
    </row>
    <row r="136" spans="1:5" x14ac:dyDescent="0.3">
      <c r="A136" s="3" t="s">
        <v>154</v>
      </c>
      <c r="B136" s="4">
        <v>30</v>
      </c>
      <c r="C136" s="3" t="s">
        <v>7</v>
      </c>
      <c r="D136" s="3" t="s">
        <v>82</v>
      </c>
      <c r="E136" s="3" t="s">
        <v>9</v>
      </c>
    </row>
    <row r="137" spans="1:5" ht="26.4" x14ac:dyDescent="0.3">
      <c r="A137" s="3" t="s">
        <v>155</v>
      </c>
      <c r="B137" s="4">
        <v>30</v>
      </c>
      <c r="C137" s="3" t="s">
        <v>7</v>
      </c>
      <c r="D137" s="3" t="s">
        <v>82</v>
      </c>
      <c r="E137" s="3" t="s">
        <v>9</v>
      </c>
    </row>
    <row r="138" spans="1:5" ht="26.4" x14ac:dyDescent="0.3">
      <c r="A138" s="3" t="s">
        <v>156</v>
      </c>
      <c r="B138" s="4">
        <v>30</v>
      </c>
      <c r="C138" s="3" t="s">
        <v>7</v>
      </c>
      <c r="D138" s="3" t="s">
        <v>82</v>
      </c>
      <c r="E138" s="3" t="s">
        <v>9</v>
      </c>
    </row>
    <row r="139" spans="1:5" x14ac:dyDescent="0.3">
      <c r="A139" s="3" t="s">
        <v>157</v>
      </c>
      <c r="B139" s="4">
        <v>30</v>
      </c>
      <c r="C139" s="3" t="s">
        <v>7</v>
      </c>
      <c r="D139" s="3" t="s">
        <v>82</v>
      </c>
      <c r="E139" s="3" t="s">
        <v>9</v>
      </c>
    </row>
    <row r="140" spans="1:5" ht="39.6" x14ac:dyDescent="0.3">
      <c r="A140" s="3" t="s">
        <v>158</v>
      </c>
      <c r="B140" s="4">
        <v>6.75</v>
      </c>
      <c r="C140" s="3" t="s">
        <v>7</v>
      </c>
      <c r="D140" s="3" t="s">
        <v>111</v>
      </c>
      <c r="E140" s="3" t="s">
        <v>9</v>
      </c>
    </row>
  </sheetData>
  <autoFilter ref="A1:E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2"/>
  <sheetViews>
    <sheetView showGridLines="0" tabSelected="1" topLeftCell="I1" workbookViewId="0">
      <pane ySplit="3" topLeftCell="A97" activePane="bottomLeft" state="frozen"/>
      <selection pane="bottomLeft" activeCell="F7" sqref="F7"/>
    </sheetView>
  </sheetViews>
  <sheetFormatPr defaultRowHeight="14.4" x14ac:dyDescent="0.3"/>
  <cols>
    <col min="1" max="1" width="17.88671875" bestFit="1" customWidth="1"/>
    <col min="2" max="2" width="43.6640625" bestFit="1" customWidth="1"/>
    <col min="3" max="3" width="15.44140625" bestFit="1" customWidth="1"/>
    <col min="4" max="4" width="15.21875" bestFit="1" customWidth="1"/>
    <col min="5" max="5" width="11.5546875" bestFit="1" customWidth="1"/>
    <col min="6" max="6" width="17.5546875" bestFit="1" customWidth="1"/>
    <col min="7" max="7" width="21.88671875" bestFit="1" customWidth="1"/>
    <col min="8" max="8" width="19.109375" bestFit="1" customWidth="1"/>
    <col min="9" max="13" width="16.44140625" bestFit="1" customWidth="1"/>
    <col min="14" max="14" width="23.21875" bestFit="1" customWidth="1"/>
    <col min="15" max="15" width="28" customWidth="1"/>
    <col min="16" max="16" width="11.88671875" bestFit="1" customWidth="1"/>
    <col min="17" max="17" width="59.88671875" bestFit="1" customWidth="1"/>
  </cols>
  <sheetData>
    <row r="1" spans="1:17" x14ac:dyDescent="0.3">
      <c r="A1" s="5" t="s">
        <v>159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7" t="s">
        <v>5</v>
      </c>
      <c r="B2" s="8">
        <v>5</v>
      </c>
      <c r="C2" s="9" t="s">
        <v>160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26.4" x14ac:dyDescent="0.3">
      <c r="A3" s="2" t="s">
        <v>161</v>
      </c>
      <c r="B3" s="2" t="s">
        <v>162</v>
      </c>
      <c r="C3" s="2" t="s">
        <v>163</v>
      </c>
      <c r="D3" s="2" t="s">
        <v>164</v>
      </c>
      <c r="E3" s="2" t="s">
        <v>2</v>
      </c>
      <c r="F3" s="2" t="s">
        <v>165</v>
      </c>
      <c r="G3" s="2" t="s">
        <v>166</v>
      </c>
      <c r="H3" s="2" t="s">
        <v>167</v>
      </c>
      <c r="I3" s="2" t="s">
        <v>168</v>
      </c>
      <c r="J3" s="2" t="s">
        <v>169</v>
      </c>
      <c r="K3" s="2" t="s">
        <v>170</v>
      </c>
      <c r="L3" s="2" t="s">
        <v>171</v>
      </c>
      <c r="M3" s="2" t="s">
        <v>172</v>
      </c>
      <c r="N3" s="2" t="s">
        <v>173</v>
      </c>
      <c r="O3" s="2" t="s">
        <v>174</v>
      </c>
      <c r="P3" s="2" t="s">
        <v>175</v>
      </c>
      <c r="Q3" s="2" t="s">
        <v>176</v>
      </c>
    </row>
    <row r="4" spans="1:17" ht="39.6" x14ac:dyDescent="0.3">
      <c r="A4" s="10" t="s">
        <v>0</v>
      </c>
      <c r="B4" s="10" t="s">
        <v>6</v>
      </c>
      <c r="C4" s="10" t="s">
        <v>177</v>
      </c>
      <c r="D4" s="11">
        <v>1000</v>
      </c>
      <c r="E4" s="10" t="s">
        <v>7</v>
      </c>
      <c r="F4" s="12"/>
      <c r="G4" s="12"/>
      <c r="H4" s="12">
        <v>0.65</v>
      </c>
      <c r="I4" s="12">
        <f t="shared" ref="I4:I35" si="0">IF(F4&lt;&gt;"",F4,IF(G4&lt;&gt;"",G4,H4))</f>
        <v>0.65</v>
      </c>
      <c r="J4" s="13">
        <f t="shared" ref="J4:J35" si="1">I4*$B$2</f>
        <v>3.25</v>
      </c>
      <c r="K4" s="14" t="str">
        <f t="shared" ref="K4:K35" si="2">IF(E4="kg",I4*D4,"")</f>
        <v/>
      </c>
      <c r="L4" s="15" t="str">
        <f t="shared" ref="L4:L35" si="3">IF(K4="","",K4*$B$2)</f>
        <v/>
      </c>
      <c r="M4" s="10"/>
      <c r="N4" s="10"/>
      <c r="O4" s="10"/>
      <c r="P4" s="10" t="s">
        <v>178</v>
      </c>
      <c r="Q4" s="10" t="s">
        <v>179</v>
      </c>
    </row>
    <row r="5" spans="1:17" x14ac:dyDescent="0.3">
      <c r="A5" s="10" t="s">
        <v>0</v>
      </c>
      <c r="B5" s="10" t="s">
        <v>10</v>
      </c>
      <c r="C5" s="10" t="s">
        <v>180</v>
      </c>
      <c r="D5" s="11">
        <v>25</v>
      </c>
      <c r="E5" s="10" t="s">
        <v>11</v>
      </c>
      <c r="F5" s="12"/>
      <c r="G5" s="12"/>
      <c r="H5" s="12">
        <v>0.4</v>
      </c>
      <c r="I5" s="12">
        <f t="shared" si="0"/>
        <v>0.4</v>
      </c>
      <c r="J5" s="13">
        <f t="shared" si="1"/>
        <v>2</v>
      </c>
      <c r="K5" s="14">
        <f t="shared" si="2"/>
        <v>10</v>
      </c>
      <c r="L5" s="15">
        <f t="shared" si="3"/>
        <v>50</v>
      </c>
      <c r="M5" s="10"/>
      <c r="N5" s="10"/>
      <c r="O5" s="10"/>
      <c r="P5" s="10" t="s">
        <v>178</v>
      </c>
      <c r="Q5" s="10" t="s">
        <v>181</v>
      </c>
    </row>
    <row r="6" spans="1:17" x14ac:dyDescent="0.3">
      <c r="A6" s="10" t="s">
        <v>0</v>
      </c>
      <c r="B6" s="10" t="s">
        <v>12</v>
      </c>
      <c r="C6" s="10" t="s">
        <v>180</v>
      </c>
      <c r="D6" s="11">
        <v>25</v>
      </c>
      <c r="E6" s="10" t="s">
        <v>11</v>
      </c>
      <c r="F6" s="12"/>
      <c r="G6" s="12"/>
      <c r="H6" s="12">
        <v>0.7</v>
      </c>
      <c r="I6" s="12">
        <f t="shared" si="0"/>
        <v>0.7</v>
      </c>
      <c r="J6" s="13">
        <f t="shared" si="1"/>
        <v>3.5</v>
      </c>
      <c r="K6" s="14">
        <f t="shared" si="2"/>
        <v>17.5</v>
      </c>
      <c r="L6" s="15">
        <f t="shared" si="3"/>
        <v>87.5</v>
      </c>
      <c r="M6" s="10"/>
      <c r="N6" s="10"/>
      <c r="O6" s="10"/>
      <c r="P6" s="10" t="s">
        <v>178</v>
      </c>
      <c r="Q6" s="10" t="s">
        <v>182</v>
      </c>
    </row>
    <row r="7" spans="1:17" ht="39.6" x14ac:dyDescent="0.3">
      <c r="A7" s="10" t="s">
        <v>0</v>
      </c>
      <c r="B7" s="10" t="s">
        <v>13</v>
      </c>
      <c r="C7" s="10" t="s">
        <v>177</v>
      </c>
      <c r="D7" s="11">
        <v>1000</v>
      </c>
      <c r="E7" s="10" t="s">
        <v>7</v>
      </c>
      <c r="F7" s="12"/>
      <c r="G7" s="12"/>
      <c r="H7" s="12">
        <v>0.7</v>
      </c>
      <c r="I7" s="12">
        <f t="shared" si="0"/>
        <v>0.7</v>
      </c>
      <c r="J7" s="13">
        <f t="shared" si="1"/>
        <v>3.5</v>
      </c>
      <c r="K7" s="14" t="str">
        <f t="shared" si="2"/>
        <v/>
      </c>
      <c r="L7" s="15" t="str">
        <f t="shared" si="3"/>
        <v/>
      </c>
      <c r="M7" s="10"/>
      <c r="N7" s="10"/>
      <c r="O7" s="10"/>
      <c r="P7" s="10" t="s">
        <v>178</v>
      </c>
      <c r="Q7" s="10" t="s">
        <v>183</v>
      </c>
    </row>
    <row r="8" spans="1:17" x14ac:dyDescent="0.3">
      <c r="A8" s="10" t="s">
        <v>0</v>
      </c>
      <c r="B8" s="10" t="s">
        <v>14</v>
      </c>
      <c r="C8" s="10" t="s">
        <v>180</v>
      </c>
      <c r="D8" s="11">
        <v>25</v>
      </c>
      <c r="E8" s="10" t="s">
        <v>11</v>
      </c>
      <c r="F8" s="12"/>
      <c r="G8" s="12"/>
      <c r="H8" s="12">
        <v>0.7</v>
      </c>
      <c r="I8" s="12">
        <f t="shared" si="0"/>
        <v>0.7</v>
      </c>
      <c r="J8" s="13">
        <f t="shared" si="1"/>
        <v>3.5</v>
      </c>
      <c r="K8" s="14">
        <f t="shared" si="2"/>
        <v>17.5</v>
      </c>
      <c r="L8" s="15">
        <f t="shared" si="3"/>
        <v>87.5</v>
      </c>
      <c r="M8" s="10"/>
      <c r="N8" s="10"/>
      <c r="O8" s="10"/>
      <c r="P8" s="10" t="s">
        <v>178</v>
      </c>
      <c r="Q8" s="10" t="s">
        <v>182</v>
      </c>
    </row>
    <row r="9" spans="1:17" x14ac:dyDescent="0.3">
      <c r="A9" s="10" t="s">
        <v>0</v>
      </c>
      <c r="B9" s="10" t="s">
        <v>15</v>
      </c>
      <c r="C9" s="10" t="s">
        <v>180</v>
      </c>
      <c r="D9" s="11">
        <v>25</v>
      </c>
      <c r="E9" s="10" t="s">
        <v>11</v>
      </c>
      <c r="F9" s="12"/>
      <c r="G9" s="12"/>
      <c r="H9" s="12">
        <v>25</v>
      </c>
      <c r="I9" s="12">
        <f t="shared" si="0"/>
        <v>25</v>
      </c>
      <c r="J9" s="13">
        <f t="shared" si="1"/>
        <v>125</v>
      </c>
      <c r="K9" s="14">
        <f t="shared" si="2"/>
        <v>625</v>
      </c>
      <c r="L9" s="15">
        <f t="shared" si="3"/>
        <v>3125</v>
      </c>
      <c r="M9" s="10"/>
      <c r="N9" s="10"/>
      <c r="O9" s="10"/>
      <c r="P9" s="10" t="s">
        <v>178</v>
      </c>
      <c r="Q9" s="10" t="s">
        <v>184</v>
      </c>
    </row>
    <row r="10" spans="1:17" x14ac:dyDescent="0.3">
      <c r="A10" s="10" t="s">
        <v>0</v>
      </c>
      <c r="B10" s="10" t="s">
        <v>16</v>
      </c>
      <c r="C10" s="10" t="s">
        <v>180</v>
      </c>
      <c r="D10" s="11">
        <v>25</v>
      </c>
      <c r="E10" s="10" t="s">
        <v>11</v>
      </c>
      <c r="F10" s="12"/>
      <c r="G10" s="12"/>
      <c r="H10" s="12">
        <v>25</v>
      </c>
      <c r="I10" s="12">
        <f t="shared" si="0"/>
        <v>25</v>
      </c>
      <c r="J10" s="13">
        <f t="shared" si="1"/>
        <v>125</v>
      </c>
      <c r="K10" s="14">
        <f t="shared" si="2"/>
        <v>625</v>
      </c>
      <c r="L10" s="15">
        <f t="shared" si="3"/>
        <v>3125</v>
      </c>
      <c r="M10" s="10"/>
      <c r="N10" s="10"/>
      <c r="O10" s="10"/>
      <c r="P10" s="10" t="s">
        <v>178</v>
      </c>
      <c r="Q10" s="10" t="s">
        <v>184</v>
      </c>
    </row>
    <row r="11" spans="1:17" x14ac:dyDescent="0.3">
      <c r="A11" s="10" t="s">
        <v>0</v>
      </c>
      <c r="B11" s="10" t="s">
        <v>17</v>
      </c>
      <c r="C11" s="10" t="s">
        <v>180</v>
      </c>
      <c r="D11" s="11">
        <v>25</v>
      </c>
      <c r="E11" s="10" t="s">
        <v>11</v>
      </c>
      <c r="F11" s="12"/>
      <c r="G11" s="12"/>
      <c r="H11" s="12">
        <v>0.7</v>
      </c>
      <c r="I11" s="12">
        <f t="shared" si="0"/>
        <v>0.7</v>
      </c>
      <c r="J11" s="13">
        <f t="shared" si="1"/>
        <v>3.5</v>
      </c>
      <c r="K11" s="14">
        <f t="shared" si="2"/>
        <v>17.5</v>
      </c>
      <c r="L11" s="15">
        <f t="shared" si="3"/>
        <v>87.5</v>
      </c>
      <c r="M11" s="10"/>
      <c r="N11" s="10"/>
      <c r="O11" s="10"/>
      <c r="P11" s="10" t="s">
        <v>178</v>
      </c>
      <c r="Q11" s="10" t="s">
        <v>182</v>
      </c>
    </row>
    <row r="12" spans="1:17" x14ac:dyDescent="0.3">
      <c r="A12" s="10" t="s">
        <v>0</v>
      </c>
      <c r="B12" s="10" t="s">
        <v>18</v>
      </c>
      <c r="C12" s="10" t="s">
        <v>180</v>
      </c>
      <c r="D12" s="11">
        <v>25</v>
      </c>
      <c r="E12" s="10" t="s">
        <v>11</v>
      </c>
      <c r="F12" s="12"/>
      <c r="G12" s="12"/>
      <c r="H12" s="12">
        <v>0.7</v>
      </c>
      <c r="I12" s="12">
        <f t="shared" si="0"/>
        <v>0.7</v>
      </c>
      <c r="J12" s="13">
        <f t="shared" si="1"/>
        <v>3.5</v>
      </c>
      <c r="K12" s="14">
        <f t="shared" si="2"/>
        <v>17.5</v>
      </c>
      <c r="L12" s="15">
        <f t="shared" si="3"/>
        <v>87.5</v>
      </c>
      <c r="M12" s="10"/>
      <c r="N12" s="10"/>
      <c r="O12" s="10"/>
      <c r="P12" s="10" t="s">
        <v>178</v>
      </c>
      <c r="Q12" s="10" t="s">
        <v>182</v>
      </c>
    </row>
    <row r="13" spans="1:17" x14ac:dyDescent="0.3">
      <c r="A13" s="10" t="s">
        <v>0</v>
      </c>
      <c r="B13" s="10" t="s">
        <v>19</v>
      </c>
      <c r="C13" s="10" t="s">
        <v>180</v>
      </c>
      <c r="D13" s="11">
        <v>25</v>
      </c>
      <c r="E13" s="10" t="s">
        <v>11</v>
      </c>
      <c r="F13" s="12"/>
      <c r="G13" s="12"/>
      <c r="H13" s="12">
        <v>0.7</v>
      </c>
      <c r="I13" s="12">
        <f t="shared" si="0"/>
        <v>0.7</v>
      </c>
      <c r="J13" s="13">
        <f t="shared" si="1"/>
        <v>3.5</v>
      </c>
      <c r="K13" s="14">
        <f t="shared" si="2"/>
        <v>17.5</v>
      </c>
      <c r="L13" s="15">
        <f t="shared" si="3"/>
        <v>87.5</v>
      </c>
      <c r="M13" s="10"/>
      <c r="N13" s="10"/>
      <c r="O13" s="10"/>
      <c r="P13" s="10" t="s">
        <v>178</v>
      </c>
      <c r="Q13" s="10" t="s">
        <v>182</v>
      </c>
    </row>
    <row r="14" spans="1:17" x14ac:dyDescent="0.3">
      <c r="A14" s="10" t="s">
        <v>0</v>
      </c>
      <c r="B14" s="10" t="s">
        <v>20</v>
      </c>
      <c r="C14" s="10" t="s">
        <v>180</v>
      </c>
      <c r="D14" s="11">
        <v>25</v>
      </c>
      <c r="E14" s="10" t="s">
        <v>11</v>
      </c>
      <c r="F14" s="12"/>
      <c r="G14" s="12"/>
      <c r="H14" s="12">
        <v>0.65</v>
      </c>
      <c r="I14" s="12">
        <f t="shared" si="0"/>
        <v>0.65</v>
      </c>
      <c r="J14" s="13">
        <f t="shared" si="1"/>
        <v>3.25</v>
      </c>
      <c r="K14" s="14">
        <f t="shared" si="2"/>
        <v>16.25</v>
      </c>
      <c r="L14" s="15">
        <f t="shared" si="3"/>
        <v>81.25</v>
      </c>
      <c r="M14" s="10"/>
      <c r="N14" s="10"/>
      <c r="O14" s="10"/>
      <c r="P14" s="10" t="s">
        <v>178</v>
      </c>
      <c r="Q14" s="10" t="s">
        <v>185</v>
      </c>
    </row>
    <row r="15" spans="1:17" x14ac:dyDescent="0.3">
      <c r="A15" s="10" t="s">
        <v>0</v>
      </c>
      <c r="B15" s="10" t="s">
        <v>21</v>
      </c>
      <c r="C15" s="10" t="s">
        <v>180</v>
      </c>
      <c r="D15" s="11">
        <v>25</v>
      </c>
      <c r="E15" s="10" t="s">
        <v>11</v>
      </c>
      <c r="F15" s="12"/>
      <c r="G15" s="12"/>
      <c r="H15" s="12">
        <v>0.7</v>
      </c>
      <c r="I15" s="12">
        <f t="shared" si="0"/>
        <v>0.7</v>
      </c>
      <c r="J15" s="13">
        <f t="shared" si="1"/>
        <v>3.5</v>
      </c>
      <c r="K15" s="14">
        <f t="shared" si="2"/>
        <v>17.5</v>
      </c>
      <c r="L15" s="15">
        <f t="shared" si="3"/>
        <v>87.5</v>
      </c>
      <c r="M15" s="10"/>
      <c r="N15" s="10"/>
      <c r="O15" s="10"/>
      <c r="P15" s="10" t="s">
        <v>178</v>
      </c>
      <c r="Q15" s="10" t="s">
        <v>182</v>
      </c>
    </row>
    <row r="16" spans="1:17" x14ac:dyDescent="0.3">
      <c r="A16" s="10" t="s">
        <v>0</v>
      </c>
      <c r="B16" s="10" t="s">
        <v>22</v>
      </c>
      <c r="C16" s="10" t="s">
        <v>180</v>
      </c>
      <c r="D16" s="11">
        <v>25</v>
      </c>
      <c r="E16" s="10" t="s">
        <v>11</v>
      </c>
      <c r="F16" s="12"/>
      <c r="G16" s="12"/>
      <c r="H16" s="12">
        <v>0.7</v>
      </c>
      <c r="I16" s="12">
        <f t="shared" si="0"/>
        <v>0.7</v>
      </c>
      <c r="J16" s="13">
        <f t="shared" si="1"/>
        <v>3.5</v>
      </c>
      <c r="K16" s="14">
        <f t="shared" si="2"/>
        <v>17.5</v>
      </c>
      <c r="L16" s="15">
        <f t="shared" si="3"/>
        <v>87.5</v>
      </c>
      <c r="M16" s="10"/>
      <c r="N16" s="10"/>
      <c r="O16" s="10"/>
      <c r="P16" s="10" t="s">
        <v>178</v>
      </c>
      <c r="Q16" s="10" t="s">
        <v>182</v>
      </c>
    </row>
    <row r="17" spans="1:17" x14ac:dyDescent="0.3">
      <c r="A17" s="10" t="s">
        <v>0</v>
      </c>
      <c r="B17" s="10" t="s">
        <v>23</v>
      </c>
      <c r="C17" s="10" t="s">
        <v>180</v>
      </c>
      <c r="D17" s="11">
        <v>25</v>
      </c>
      <c r="E17" s="10" t="s">
        <v>11</v>
      </c>
      <c r="F17" s="12"/>
      <c r="G17" s="12"/>
      <c r="H17" s="12">
        <v>0.65</v>
      </c>
      <c r="I17" s="12">
        <f t="shared" si="0"/>
        <v>0.65</v>
      </c>
      <c r="J17" s="13">
        <f t="shared" si="1"/>
        <v>3.25</v>
      </c>
      <c r="K17" s="14">
        <f t="shared" si="2"/>
        <v>16.25</v>
      </c>
      <c r="L17" s="15">
        <f t="shared" si="3"/>
        <v>81.25</v>
      </c>
      <c r="M17" s="10"/>
      <c r="N17" s="10"/>
      <c r="O17" s="10"/>
      <c r="P17" s="10" t="s">
        <v>178</v>
      </c>
      <c r="Q17" s="10" t="s">
        <v>185</v>
      </c>
    </row>
    <row r="18" spans="1:17" x14ac:dyDescent="0.3">
      <c r="A18" s="10" t="s">
        <v>0</v>
      </c>
      <c r="B18" s="10" t="s">
        <v>24</v>
      </c>
      <c r="C18" s="10" t="s">
        <v>180</v>
      </c>
      <c r="D18" s="11">
        <v>25</v>
      </c>
      <c r="E18" s="10" t="s">
        <v>11</v>
      </c>
      <c r="F18" s="12"/>
      <c r="G18" s="12"/>
      <c r="H18" s="12">
        <v>25</v>
      </c>
      <c r="I18" s="12">
        <f t="shared" si="0"/>
        <v>25</v>
      </c>
      <c r="J18" s="13">
        <f t="shared" si="1"/>
        <v>125</v>
      </c>
      <c r="K18" s="14">
        <f t="shared" si="2"/>
        <v>625</v>
      </c>
      <c r="L18" s="15">
        <f t="shared" si="3"/>
        <v>3125</v>
      </c>
      <c r="M18" s="10"/>
      <c r="N18" s="10"/>
      <c r="O18" s="10"/>
      <c r="P18" s="10" t="s">
        <v>178</v>
      </c>
      <c r="Q18" s="10" t="s">
        <v>184</v>
      </c>
    </row>
    <row r="19" spans="1:17" x14ac:dyDescent="0.3">
      <c r="A19" s="10" t="s">
        <v>0</v>
      </c>
      <c r="B19" s="10" t="s">
        <v>25</v>
      </c>
      <c r="C19" s="10" t="s">
        <v>180</v>
      </c>
      <c r="D19" s="11">
        <v>25</v>
      </c>
      <c r="E19" s="10" t="s">
        <v>11</v>
      </c>
      <c r="F19" s="12"/>
      <c r="G19" s="12"/>
      <c r="H19" s="12">
        <v>0.65</v>
      </c>
      <c r="I19" s="12">
        <f t="shared" si="0"/>
        <v>0.65</v>
      </c>
      <c r="J19" s="13">
        <f t="shared" si="1"/>
        <v>3.25</v>
      </c>
      <c r="K19" s="14">
        <f t="shared" si="2"/>
        <v>16.25</v>
      </c>
      <c r="L19" s="15">
        <f t="shared" si="3"/>
        <v>81.25</v>
      </c>
      <c r="M19" s="10"/>
      <c r="N19" s="10"/>
      <c r="O19" s="10"/>
      <c r="P19" s="10" t="s">
        <v>178</v>
      </c>
      <c r="Q19" s="10" t="s">
        <v>185</v>
      </c>
    </row>
    <row r="20" spans="1:17" x14ac:dyDescent="0.3">
      <c r="A20" s="10" t="s">
        <v>0</v>
      </c>
      <c r="B20" s="10" t="s">
        <v>26</v>
      </c>
      <c r="C20" s="10" t="s">
        <v>180</v>
      </c>
      <c r="D20" s="11">
        <v>25</v>
      </c>
      <c r="E20" s="10" t="s">
        <v>11</v>
      </c>
      <c r="F20" s="12"/>
      <c r="G20" s="12"/>
      <c r="H20" s="12">
        <v>0.65</v>
      </c>
      <c r="I20" s="12">
        <f t="shared" si="0"/>
        <v>0.65</v>
      </c>
      <c r="J20" s="13">
        <f t="shared" si="1"/>
        <v>3.25</v>
      </c>
      <c r="K20" s="14">
        <f t="shared" si="2"/>
        <v>16.25</v>
      </c>
      <c r="L20" s="15">
        <f t="shared" si="3"/>
        <v>81.25</v>
      </c>
      <c r="M20" s="10"/>
      <c r="N20" s="10"/>
      <c r="O20" s="10"/>
      <c r="P20" s="10" t="s">
        <v>178</v>
      </c>
      <c r="Q20" s="10" t="s">
        <v>185</v>
      </c>
    </row>
    <row r="21" spans="1:17" x14ac:dyDescent="0.3">
      <c r="A21" s="10" t="s">
        <v>0</v>
      </c>
      <c r="B21" s="10" t="s">
        <v>27</v>
      </c>
      <c r="C21" s="10" t="s">
        <v>180</v>
      </c>
      <c r="D21" s="11">
        <v>25</v>
      </c>
      <c r="E21" s="10" t="s">
        <v>11</v>
      </c>
      <c r="F21" s="12"/>
      <c r="G21" s="12"/>
      <c r="H21" s="12">
        <v>0.65</v>
      </c>
      <c r="I21" s="12">
        <f t="shared" si="0"/>
        <v>0.65</v>
      </c>
      <c r="J21" s="13">
        <f t="shared" si="1"/>
        <v>3.25</v>
      </c>
      <c r="K21" s="14">
        <f t="shared" si="2"/>
        <v>16.25</v>
      </c>
      <c r="L21" s="15">
        <f t="shared" si="3"/>
        <v>81.25</v>
      </c>
      <c r="M21" s="10"/>
      <c r="N21" s="10"/>
      <c r="O21" s="10"/>
      <c r="P21" s="10" t="s">
        <v>178</v>
      </c>
      <c r="Q21" s="10" t="s">
        <v>185</v>
      </c>
    </row>
    <row r="22" spans="1:17" x14ac:dyDescent="0.3">
      <c r="A22" s="10" t="s">
        <v>0</v>
      </c>
      <c r="B22" s="10" t="s">
        <v>28</v>
      </c>
      <c r="C22" s="10" t="s">
        <v>180</v>
      </c>
      <c r="D22" s="11">
        <v>25</v>
      </c>
      <c r="E22" s="10" t="s">
        <v>11</v>
      </c>
      <c r="F22" s="12"/>
      <c r="G22" s="12"/>
      <c r="H22" s="12">
        <v>0.65</v>
      </c>
      <c r="I22" s="12">
        <f t="shared" si="0"/>
        <v>0.65</v>
      </c>
      <c r="J22" s="13">
        <f t="shared" si="1"/>
        <v>3.25</v>
      </c>
      <c r="K22" s="14">
        <f t="shared" si="2"/>
        <v>16.25</v>
      </c>
      <c r="L22" s="15">
        <f t="shared" si="3"/>
        <v>81.25</v>
      </c>
      <c r="M22" s="10"/>
      <c r="N22" s="10"/>
      <c r="O22" s="10"/>
      <c r="P22" s="10" t="s">
        <v>178</v>
      </c>
      <c r="Q22" s="10" t="s">
        <v>185</v>
      </c>
    </row>
    <row r="23" spans="1:17" x14ac:dyDescent="0.3">
      <c r="A23" s="10" t="s">
        <v>0</v>
      </c>
      <c r="B23" s="10" t="s">
        <v>29</v>
      </c>
      <c r="C23" s="10" t="s">
        <v>180</v>
      </c>
      <c r="D23" s="11">
        <v>25</v>
      </c>
      <c r="E23" s="10" t="s">
        <v>11</v>
      </c>
      <c r="F23" s="12"/>
      <c r="G23" s="12"/>
      <c r="H23" s="12">
        <v>0.65</v>
      </c>
      <c r="I23" s="12">
        <f t="shared" si="0"/>
        <v>0.65</v>
      </c>
      <c r="J23" s="13">
        <f t="shared" si="1"/>
        <v>3.25</v>
      </c>
      <c r="K23" s="14">
        <f t="shared" si="2"/>
        <v>16.25</v>
      </c>
      <c r="L23" s="15">
        <f t="shared" si="3"/>
        <v>81.25</v>
      </c>
      <c r="M23" s="10"/>
      <c r="N23" s="10"/>
      <c r="O23" s="10"/>
      <c r="P23" s="10" t="s">
        <v>178</v>
      </c>
      <c r="Q23" s="10" t="s">
        <v>185</v>
      </c>
    </row>
    <row r="24" spans="1:17" x14ac:dyDescent="0.3">
      <c r="A24" s="10" t="s">
        <v>0</v>
      </c>
      <c r="B24" s="10" t="s">
        <v>30</v>
      </c>
      <c r="C24" s="10" t="s">
        <v>180</v>
      </c>
      <c r="D24" s="11">
        <v>25</v>
      </c>
      <c r="E24" s="10" t="s">
        <v>11</v>
      </c>
      <c r="F24" s="12"/>
      <c r="G24" s="12"/>
      <c r="H24" s="12">
        <v>0.65</v>
      </c>
      <c r="I24" s="12">
        <f t="shared" si="0"/>
        <v>0.65</v>
      </c>
      <c r="J24" s="13">
        <f t="shared" si="1"/>
        <v>3.25</v>
      </c>
      <c r="K24" s="14">
        <f t="shared" si="2"/>
        <v>16.25</v>
      </c>
      <c r="L24" s="15">
        <f t="shared" si="3"/>
        <v>81.25</v>
      </c>
      <c r="M24" s="10"/>
      <c r="N24" s="10"/>
      <c r="O24" s="10"/>
      <c r="P24" s="10" t="s">
        <v>178</v>
      </c>
      <c r="Q24" s="10" t="s">
        <v>185</v>
      </c>
    </row>
    <row r="25" spans="1:17" x14ac:dyDescent="0.3">
      <c r="A25" s="10" t="s">
        <v>0</v>
      </c>
      <c r="B25" s="10" t="s">
        <v>31</v>
      </c>
      <c r="C25" s="10" t="s">
        <v>180</v>
      </c>
      <c r="D25" s="11">
        <v>25</v>
      </c>
      <c r="E25" s="10" t="s">
        <v>11</v>
      </c>
      <c r="F25" s="12"/>
      <c r="G25" s="12"/>
      <c r="H25" s="12">
        <v>0.65</v>
      </c>
      <c r="I25" s="12">
        <f t="shared" si="0"/>
        <v>0.65</v>
      </c>
      <c r="J25" s="13">
        <f t="shared" si="1"/>
        <v>3.25</v>
      </c>
      <c r="K25" s="14">
        <f t="shared" si="2"/>
        <v>16.25</v>
      </c>
      <c r="L25" s="15">
        <f t="shared" si="3"/>
        <v>81.25</v>
      </c>
      <c r="M25" s="10"/>
      <c r="N25" s="10"/>
      <c r="O25" s="10"/>
      <c r="P25" s="10" t="s">
        <v>178</v>
      </c>
      <c r="Q25" s="10" t="s">
        <v>185</v>
      </c>
    </row>
    <row r="26" spans="1:17" x14ac:dyDescent="0.3">
      <c r="A26" s="10" t="s">
        <v>0</v>
      </c>
      <c r="B26" s="10" t="s">
        <v>32</v>
      </c>
      <c r="C26" s="10" t="s">
        <v>180</v>
      </c>
      <c r="D26" s="11">
        <v>25</v>
      </c>
      <c r="E26" s="10" t="s">
        <v>11</v>
      </c>
      <c r="F26" s="12"/>
      <c r="G26" s="12"/>
      <c r="H26" s="12">
        <v>0.65</v>
      </c>
      <c r="I26" s="12">
        <f t="shared" si="0"/>
        <v>0.65</v>
      </c>
      <c r="J26" s="13">
        <f t="shared" si="1"/>
        <v>3.25</v>
      </c>
      <c r="K26" s="14">
        <f t="shared" si="2"/>
        <v>16.25</v>
      </c>
      <c r="L26" s="15">
        <f t="shared" si="3"/>
        <v>81.25</v>
      </c>
      <c r="M26" s="10"/>
      <c r="N26" s="10"/>
      <c r="O26" s="10"/>
      <c r="P26" s="10" t="s">
        <v>178</v>
      </c>
      <c r="Q26" s="10" t="s">
        <v>185</v>
      </c>
    </row>
    <row r="27" spans="1:17" x14ac:dyDescent="0.3">
      <c r="A27" s="10" t="s">
        <v>0</v>
      </c>
      <c r="B27" s="10" t="s">
        <v>33</v>
      </c>
      <c r="C27" s="10" t="s">
        <v>180</v>
      </c>
      <c r="D27" s="11">
        <v>25</v>
      </c>
      <c r="E27" s="10" t="s">
        <v>11</v>
      </c>
      <c r="F27" s="12"/>
      <c r="G27" s="12"/>
      <c r="H27" s="12">
        <v>0.7</v>
      </c>
      <c r="I27" s="12">
        <f t="shared" si="0"/>
        <v>0.7</v>
      </c>
      <c r="J27" s="13">
        <f t="shared" si="1"/>
        <v>3.5</v>
      </c>
      <c r="K27" s="14">
        <f t="shared" si="2"/>
        <v>17.5</v>
      </c>
      <c r="L27" s="15">
        <f t="shared" si="3"/>
        <v>87.5</v>
      </c>
      <c r="M27" s="10"/>
      <c r="N27" s="10"/>
      <c r="O27" s="10"/>
      <c r="P27" s="10" t="s">
        <v>178</v>
      </c>
      <c r="Q27" s="10" t="s">
        <v>182</v>
      </c>
    </row>
    <row r="28" spans="1:17" x14ac:dyDescent="0.3">
      <c r="A28" s="10" t="s">
        <v>0</v>
      </c>
      <c r="B28" s="10" t="s">
        <v>34</v>
      </c>
      <c r="C28" s="10" t="s">
        <v>180</v>
      </c>
      <c r="D28" s="11">
        <v>25</v>
      </c>
      <c r="E28" s="10" t="s">
        <v>11</v>
      </c>
      <c r="F28" s="12"/>
      <c r="G28" s="12"/>
      <c r="H28" s="12">
        <v>0.7</v>
      </c>
      <c r="I28" s="12">
        <f t="shared" si="0"/>
        <v>0.7</v>
      </c>
      <c r="J28" s="13">
        <f t="shared" si="1"/>
        <v>3.5</v>
      </c>
      <c r="K28" s="14">
        <f t="shared" si="2"/>
        <v>17.5</v>
      </c>
      <c r="L28" s="15">
        <f t="shared" si="3"/>
        <v>87.5</v>
      </c>
      <c r="M28" s="10"/>
      <c r="N28" s="10"/>
      <c r="O28" s="10"/>
      <c r="P28" s="10" t="s">
        <v>178</v>
      </c>
      <c r="Q28" s="10" t="s">
        <v>182</v>
      </c>
    </row>
    <row r="29" spans="1:17" x14ac:dyDescent="0.3">
      <c r="A29" s="10" t="s">
        <v>0</v>
      </c>
      <c r="B29" s="10" t="s">
        <v>35</v>
      </c>
      <c r="C29" s="10" t="s">
        <v>180</v>
      </c>
      <c r="D29" s="11">
        <v>25</v>
      </c>
      <c r="E29" s="10" t="s">
        <v>11</v>
      </c>
      <c r="F29" s="12"/>
      <c r="G29" s="12"/>
      <c r="H29" s="12">
        <v>0.7</v>
      </c>
      <c r="I29" s="12">
        <f t="shared" si="0"/>
        <v>0.7</v>
      </c>
      <c r="J29" s="13">
        <f t="shared" si="1"/>
        <v>3.5</v>
      </c>
      <c r="K29" s="14">
        <f t="shared" si="2"/>
        <v>17.5</v>
      </c>
      <c r="L29" s="15">
        <f t="shared" si="3"/>
        <v>87.5</v>
      </c>
      <c r="M29" s="10"/>
      <c r="N29" s="10"/>
      <c r="O29" s="10"/>
      <c r="P29" s="10" t="s">
        <v>178</v>
      </c>
      <c r="Q29" s="10" t="s">
        <v>182</v>
      </c>
    </row>
    <row r="30" spans="1:17" x14ac:dyDescent="0.3">
      <c r="A30" s="10" t="s">
        <v>0</v>
      </c>
      <c r="B30" s="10" t="s">
        <v>36</v>
      </c>
      <c r="C30" s="10" t="s">
        <v>180</v>
      </c>
      <c r="D30" s="11">
        <v>25</v>
      </c>
      <c r="E30" s="10" t="s">
        <v>11</v>
      </c>
      <c r="F30" s="12"/>
      <c r="G30" s="12"/>
      <c r="H30" s="12">
        <v>0.7</v>
      </c>
      <c r="I30" s="12">
        <f t="shared" si="0"/>
        <v>0.7</v>
      </c>
      <c r="J30" s="13">
        <f t="shared" si="1"/>
        <v>3.5</v>
      </c>
      <c r="K30" s="14">
        <f t="shared" si="2"/>
        <v>17.5</v>
      </c>
      <c r="L30" s="15">
        <f t="shared" si="3"/>
        <v>87.5</v>
      </c>
      <c r="M30" s="10"/>
      <c r="N30" s="10"/>
      <c r="O30" s="10"/>
      <c r="P30" s="10" t="s">
        <v>178</v>
      </c>
      <c r="Q30" s="10" t="s">
        <v>182</v>
      </c>
    </row>
    <row r="31" spans="1:17" x14ac:dyDescent="0.3">
      <c r="A31" s="10" t="s">
        <v>0</v>
      </c>
      <c r="B31" s="10" t="s">
        <v>37</v>
      </c>
      <c r="C31" s="10" t="s">
        <v>180</v>
      </c>
      <c r="D31" s="11">
        <v>25</v>
      </c>
      <c r="E31" s="10" t="s">
        <v>11</v>
      </c>
      <c r="F31" s="12"/>
      <c r="G31" s="12"/>
      <c r="H31" s="12">
        <v>0.7</v>
      </c>
      <c r="I31" s="12">
        <f t="shared" si="0"/>
        <v>0.7</v>
      </c>
      <c r="J31" s="13">
        <f t="shared" si="1"/>
        <v>3.5</v>
      </c>
      <c r="K31" s="14">
        <f t="shared" si="2"/>
        <v>17.5</v>
      </c>
      <c r="L31" s="15">
        <f t="shared" si="3"/>
        <v>87.5</v>
      </c>
      <c r="M31" s="10"/>
      <c r="N31" s="10"/>
      <c r="O31" s="10"/>
      <c r="P31" s="10" t="s">
        <v>178</v>
      </c>
      <c r="Q31" s="10" t="s">
        <v>182</v>
      </c>
    </row>
    <row r="32" spans="1:17" x14ac:dyDescent="0.3">
      <c r="A32" s="10" t="s">
        <v>0</v>
      </c>
      <c r="B32" s="10" t="s">
        <v>38</v>
      </c>
      <c r="C32" s="10" t="s">
        <v>180</v>
      </c>
      <c r="D32" s="11">
        <v>25</v>
      </c>
      <c r="E32" s="10" t="s">
        <v>11</v>
      </c>
      <c r="F32" s="12"/>
      <c r="G32" s="12"/>
      <c r="H32" s="12">
        <v>0.7</v>
      </c>
      <c r="I32" s="12">
        <f t="shared" si="0"/>
        <v>0.7</v>
      </c>
      <c r="J32" s="13">
        <f t="shared" si="1"/>
        <v>3.5</v>
      </c>
      <c r="K32" s="14">
        <f t="shared" si="2"/>
        <v>17.5</v>
      </c>
      <c r="L32" s="15">
        <f t="shared" si="3"/>
        <v>87.5</v>
      </c>
      <c r="M32" s="10"/>
      <c r="N32" s="10"/>
      <c r="O32" s="10"/>
      <c r="P32" s="10" t="s">
        <v>178</v>
      </c>
      <c r="Q32" s="10" t="s">
        <v>182</v>
      </c>
    </row>
    <row r="33" spans="1:17" x14ac:dyDescent="0.3">
      <c r="A33" s="10" t="s">
        <v>0</v>
      </c>
      <c r="B33" s="10" t="s">
        <v>39</v>
      </c>
      <c r="C33" s="10" t="s">
        <v>180</v>
      </c>
      <c r="D33" s="11">
        <v>25</v>
      </c>
      <c r="E33" s="10" t="s">
        <v>11</v>
      </c>
      <c r="F33" s="12"/>
      <c r="G33" s="12"/>
      <c r="H33" s="12">
        <v>0.7</v>
      </c>
      <c r="I33" s="12">
        <f t="shared" si="0"/>
        <v>0.7</v>
      </c>
      <c r="J33" s="13">
        <f t="shared" si="1"/>
        <v>3.5</v>
      </c>
      <c r="K33" s="14">
        <f t="shared" si="2"/>
        <v>17.5</v>
      </c>
      <c r="L33" s="15">
        <f t="shared" si="3"/>
        <v>87.5</v>
      </c>
      <c r="M33" s="10"/>
      <c r="N33" s="10"/>
      <c r="O33" s="10"/>
      <c r="P33" s="10" t="s">
        <v>178</v>
      </c>
      <c r="Q33" s="10" t="s">
        <v>182</v>
      </c>
    </row>
    <row r="34" spans="1:17" x14ac:dyDescent="0.3">
      <c r="A34" s="10" t="s">
        <v>0</v>
      </c>
      <c r="B34" s="10" t="s">
        <v>40</v>
      </c>
      <c r="C34" s="10" t="s">
        <v>180</v>
      </c>
      <c r="D34" s="11">
        <v>25</v>
      </c>
      <c r="E34" s="10" t="s">
        <v>11</v>
      </c>
      <c r="F34" s="12"/>
      <c r="G34" s="12"/>
      <c r="H34" s="12">
        <v>0.7</v>
      </c>
      <c r="I34" s="12">
        <f t="shared" si="0"/>
        <v>0.7</v>
      </c>
      <c r="J34" s="13">
        <f t="shared" si="1"/>
        <v>3.5</v>
      </c>
      <c r="K34" s="14">
        <f t="shared" si="2"/>
        <v>17.5</v>
      </c>
      <c r="L34" s="15">
        <f t="shared" si="3"/>
        <v>87.5</v>
      </c>
      <c r="M34" s="10"/>
      <c r="N34" s="10"/>
      <c r="O34" s="10"/>
      <c r="P34" s="10" t="s">
        <v>178</v>
      </c>
      <c r="Q34" s="10" t="s">
        <v>182</v>
      </c>
    </row>
    <row r="35" spans="1:17" x14ac:dyDescent="0.3">
      <c r="A35" s="10" t="s">
        <v>0</v>
      </c>
      <c r="B35" s="10" t="s">
        <v>41</v>
      </c>
      <c r="C35" s="10" t="s">
        <v>180</v>
      </c>
      <c r="D35" s="11">
        <v>25</v>
      </c>
      <c r="E35" s="10" t="s">
        <v>11</v>
      </c>
      <c r="F35" s="12"/>
      <c r="G35" s="12"/>
      <c r="H35" s="12">
        <v>0.7</v>
      </c>
      <c r="I35" s="12">
        <f t="shared" si="0"/>
        <v>0.7</v>
      </c>
      <c r="J35" s="13">
        <f t="shared" si="1"/>
        <v>3.5</v>
      </c>
      <c r="K35" s="14">
        <f t="shared" si="2"/>
        <v>17.5</v>
      </c>
      <c r="L35" s="15">
        <f t="shared" si="3"/>
        <v>87.5</v>
      </c>
      <c r="M35" s="10"/>
      <c r="N35" s="10"/>
      <c r="O35" s="10"/>
      <c r="P35" s="10" t="s">
        <v>178</v>
      </c>
      <c r="Q35" s="10" t="s">
        <v>182</v>
      </c>
    </row>
    <row r="36" spans="1:17" x14ac:dyDescent="0.3">
      <c r="A36" s="10" t="s">
        <v>0</v>
      </c>
      <c r="B36" s="10" t="s">
        <v>42</v>
      </c>
      <c r="C36" s="10" t="s">
        <v>180</v>
      </c>
      <c r="D36" s="11">
        <v>25</v>
      </c>
      <c r="E36" s="10" t="s">
        <v>11</v>
      </c>
      <c r="F36" s="12"/>
      <c r="G36" s="12"/>
      <c r="H36" s="12">
        <v>0.7</v>
      </c>
      <c r="I36" s="12">
        <f t="shared" ref="I36:I67" si="4">IF(F36&lt;&gt;"",F36,IF(G36&lt;&gt;"",G36,H36))</f>
        <v>0.7</v>
      </c>
      <c r="J36" s="13">
        <f t="shared" ref="J36:J67" si="5">I36*$B$2</f>
        <v>3.5</v>
      </c>
      <c r="K36" s="14">
        <f t="shared" ref="K36:K67" si="6">IF(E36="kg",I36*D36,"")</f>
        <v>17.5</v>
      </c>
      <c r="L36" s="15">
        <f t="shared" ref="L36:L67" si="7">IF(K36="","",K36*$B$2)</f>
        <v>87.5</v>
      </c>
      <c r="M36" s="10"/>
      <c r="N36" s="10"/>
      <c r="O36" s="10"/>
      <c r="P36" s="10" t="s">
        <v>178</v>
      </c>
      <c r="Q36" s="10" t="s">
        <v>182</v>
      </c>
    </row>
    <row r="37" spans="1:17" x14ac:dyDescent="0.3">
      <c r="A37" s="10" t="s">
        <v>0</v>
      </c>
      <c r="B37" s="10" t="s">
        <v>43</v>
      </c>
      <c r="C37" s="10" t="s">
        <v>180</v>
      </c>
      <c r="D37" s="11">
        <v>25</v>
      </c>
      <c r="E37" s="10" t="s">
        <v>11</v>
      </c>
      <c r="F37" s="12"/>
      <c r="G37" s="12"/>
      <c r="H37" s="12">
        <v>0.7</v>
      </c>
      <c r="I37" s="12">
        <f t="shared" si="4"/>
        <v>0.7</v>
      </c>
      <c r="J37" s="13">
        <f t="shared" si="5"/>
        <v>3.5</v>
      </c>
      <c r="K37" s="14">
        <f t="shared" si="6"/>
        <v>17.5</v>
      </c>
      <c r="L37" s="15">
        <f t="shared" si="7"/>
        <v>87.5</v>
      </c>
      <c r="M37" s="10"/>
      <c r="N37" s="10"/>
      <c r="O37" s="10"/>
      <c r="P37" s="10" t="s">
        <v>178</v>
      </c>
      <c r="Q37" s="10" t="s">
        <v>182</v>
      </c>
    </row>
    <row r="38" spans="1:17" x14ac:dyDescent="0.3">
      <c r="A38" s="10" t="s">
        <v>0</v>
      </c>
      <c r="B38" s="10" t="s">
        <v>44</v>
      </c>
      <c r="C38" s="10" t="s">
        <v>180</v>
      </c>
      <c r="D38" s="11">
        <v>25</v>
      </c>
      <c r="E38" s="10" t="s">
        <v>11</v>
      </c>
      <c r="F38" s="12"/>
      <c r="G38" s="12"/>
      <c r="H38" s="12">
        <v>0.7</v>
      </c>
      <c r="I38" s="12">
        <f t="shared" si="4"/>
        <v>0.7</v>
      </c>
      <c r="J38" s="13">
        <f t="shared" si="5"/>
        <v>3.5</v>
      </c>
      <c r="K38" s="14">
        <f t="shared" si="6"/>
        <v>17.5</v>
      </c>
      <c r="L38" s="15">
        <f t="shared" si="7"/>
        <v>87.5</v>
      </c>
      <c r="M38" s="10"/>
      <c r="N38" s="10"/>
      <c r="O38" s="10"/>
      <c r="P38" s="10" t="s">
        <v>178</v>
      </c>
      <c r="Q38" s="10" t="s">
        <v>182</v>
      </c>
    </row>
    <row r="39" spans="1:17" x14ac:dyDescent="0.3">
      <c r="A39" s="10" t="s">
        <v>0</v>
      </c>
      <c r="B39" s="10" t="s">
        <v>45</v>
      </c>
      <c r="C39" s="10" t="s">
        <v>180</v>
      </c>
      <c r="D39" s="11">
        <v>25</v>
      </c>
      <c r="E39" s="10" t="s">
        <v>11</v>
      </c>
      <c r="F39" s="12"/>
      <c r="G39" s="12"/>
      <c r="H39" s="12">
        <v>0.65</v>
      </c>
      <c r="I39" s="12">
        <f t="shared" si="4"/>
        <v>0.65</v>
      </c>
      <c r="J39" s="13">
        <f t="shared" si="5"/>
        <v>3.25</v>
      </c>
      <c r="K39" s="14">
        <f t="shared" si="6"/>
        <v>16.25</v>
      </c>
      <c r="L39" s="15">
        <f t="shared" si="7"/>
        <v>81.25</v>
      </c>
      <c r="M39" s="10"/>
      <c r="N39" s="10"/>
      <c r="O39" s="10"/>
      <c r="P39" s="10" t="s">
        <v>178</v>
      </c>
      <c r="Q39" s="10" t="s">
        <v>185</v>
      </c>
    </row>
    <row r="40" spans="1:17" x14ac:dyDescent="0.3">
      <c r="A40" s="10" t="s">
        <v>0</v>
      </c>
      <c r="B40" s="10" t="s">
        <v>46</v>
      </c>
      <c r="C40" s="10" t="s">
        <v>180</v>
      </c>
      <c r="D40" s="11">
        <v>25</v>
      </c>
      <c r="E40" s="10" t="s">
        <v>11</v>
      </c>
      <c r="F40" s="12"/>
      <c r="G40" s="12"/>
      <c r="H40" s="12">
        <v>0.7</v>
      </c>
      <c r="I40" s="12">
        <f t="shared" si="4"/>
        <v>0.7</v>
      </c>
      <c r="J40" s="13">
        <f t="shared" si="5"/>
        <v>3.5</v>
      </c>
      <c r="K40" s="14">
        <f t="shared" si="6"/>
        <v>17.5</v>
      </c>
      <c r="L40" s="15">
        <f t="shared" si="7"/>
        <v>87.5</v>
      </c>
      <c r="M40" s="10"/>
      <c r="N40" s="10"/>
      <c r="O40" s="10"/>
      <c r="P40" s="10" t="s">
        <v>178</v>
      </c>
      <c r="Q40" s="10" t="s">
        <v>182</v>
      </c>
    </row>
    <row r="41" spans="1:17" x14ac:dyDescent="0.3">
      <c r="A41" s="10" t="s">
        <v>0</v>
      </c>
      <c r="B41" s="10" t="s">
        <v>47</v>
      </c>
      <c r="C41" s="10" t="s">
        <v>180</v>
      </c>
      <c r="D41" s="11">
        <v>25</v>
      </c>
      <c r="E41" s="10" t="s">
        <v>11</v>
      </c>
      <c r="F41" s="12"/>
      <c r="G41" s="12"/>
      <c r="H41" s="12">
        <v>0.7</v>
      </c>
      <c r="I41" s="12">
        <f t="shared" si="4"/>
        <v>0.7</v>
      </c>
      <c r="J41" s="13">
        <f t="shared" si="5"/>
        <v>3.5</v>
      </c>
      <c r="K41" s="14">
        <f t="shared" si="6"/>
        <v>17.5</v>
      </c>
      <c r="L41" s="15">
        <f t="shared" si="7"/>
        <v>87.5</v>
      </c>
      <c r="M41" s="10"/>
      <c r="N41" s="10"/>
      <c r="O41" s="10"/>
      <c r="P41" s="10" t="s">
        <v>178</v>
      </c>
      <c r="Q41" s="10" t="s">
        <v>182</v>
      </c>
    </row>
    <row r="42" spans="1:17" x14ac:dyDescent="0.3">
      <c r="A42" s="10" t="s">
        <v>0</v>
      </c>
      <c r="B42" s="10" t="s">
        <v>48</v>
      </c>
      <c r="C42" s="10" t="s">
        <v>180</v>
      </c>
      <c r="D42" s="11">
        <v>25</v>
      </c>
      <c r="E42" s="10" t="s">
        <v>11</v>
      </c>
      <c r="F42" s="12"/>
      <c r="G42" s="12"/>
      <c r="H42" s="12">
        <v>0.65</v>
      </c>
      <c r="I42" s="12">
        <f t="shared" si="4"/>
        <v>0.65</v>
      </c>
      <c r="J42" s="13">
        <f t="shared" si="5"/>
        <v>3.25</v>
      </c>
      <c r="K42" s="14">
        <f t="shared" si="6"/>
        <v>16.25</v>
      </c>
      <c r="L42" s="15">
        <f t="shared" si="7"/>
        <v>81.25</v>
      </c>
      <c r="M42" s="10"/>
      <c r="N42" s="10"/>
      <c r="O42" s="10"/>
      <c r="P42" s="10" t="s">
        <v>178</v>
      </c>
      <c r="Q42" s="10" t="s">
        <v>185</v>
      </c>
    </row>
    <row r="43" spans="1:17" x14ac:dyDescent="0.3">
      <c r="A43" s="10" t="s">
        <v>0</v>
      </c>
      <c r="B43" s="10" t="s">
        <v>49</v>
      </c>
      <c r="C43" s="10" t="s">
        <v>180</v>
      </c>
      <c r="D43" s="11">
        <v>25</v>
      </c>
      <c r="E43" s="10" t="s">
        <v>11</v>
      </c>
      <c r="F43" s="12"/>
      <c r="G43" s="12"/>
      <c r="H43" s="12">
        <v>0.65</v>
      </c>
      <c r="I43" s="12">
        <f t="shared" si="4"/>
        <v>0.65</v>
      </c>
      <c r="J43" s="13">
        <f t="shared" si="5"/>
        <v>3.25</v>
      </c>
      <c r="K43" s="14">
        <f t="shared" si="6"/>
        <v>16.25</v>
      </c>
      <c r="L43" s="15">
        <f t="shared" si="7"/>
        <v>81.25</v>
      </c>
      <c r="M43" s="10"/>
      <c r="N43" s="10"/>
      <c r="O43" s="10"/>
      <c r="P43" s="10" t="s">
        <v>178</v>
      </c>
      <c r="Q43" s="10" t="s">
        <v>185</v>
      </c>
    </row>
    <row r="44" spans="1:17" x14ac:dyDescent="0.3">
      <c r="A44" s="10" t="s">
        <v>0</v>
      </c>
      <c r="B44" s="10" t="s">
        <v>50</v>
      </c>
      <c r="C44" s="10" t="s">
        <v>180</v>
      </c>
      <c r="D44" s="11">
        <v>25</v>
      </c>
      <c r="E44" s="10" t="s">
        <v>11</v>
      </c>
      <c r="F44" s="12"/>
      <c r="G44" s="12"/>
      <c r="H44" s="12">
        <v>0.7</v>
      </c>
      <c r="I44" s="12">
        <f t="shared" si="4"/>
        <v>0.7</v>
      </c>
      <c r="J44" s="13">
        <f t="shared" si="5"/>
        <v>3.5</v>
      </c>
      <c r="K44" s="14">
        <f t="shared" si="6"/>
        <v>17.5</v>
      </c>
      <c r="L44" s="15">
        <f t="shared" si="7"/>
        <v>87.5</v>
      </c>
      <c r="M44" s="10"/>
      <c r="N44" s="10"/>
      <c r="O44" s="10"/>
      <c r="P44" s="10" t="s">
        <v>178</v>
      </c>
      <c r="Q44" s="10" t="s">
        <v>182</v>
      </c>
    </row>
    <row r="45" spans="1:17" x14ac:dyDescent="0.3">
      <c r="A45" s="10" t="s">
        <v>0</v>
      </c>
      <c r="B45" s="10" t="s">
        <v>51</v>
      </c>
      <c r="C45" s="10" t="s">
        <v>180</v>
      </c>
      <c r="D45" s="11">
        <v>25</v>
      </c>
      <c r="E45" s="10" t="s">
        <v>11</v>
      </c>
      <c r="F45" s="12"/>
      <c r="G45" s="12"/>
      <c r="H45" s="12">
        <v>0.7</v>
      </c>
      <c r="I45" s="12">
        <f t="shared" si="4"/>
        <v>0.7</v>
      </c>
      <c r="J45" s="13">
        <f t="shared" si="5"/>
        <v>3.5</v>
      </c>
      <c r="K45" s="14">
        <f t="shared" si="6"/>
        <v>17.5</v>
      </c>
      <c r="L45" s="15">
        <f t="shared" si="7"/>
        <v>87.5</v>
      </c>
      <c r="M45" s="10"/>
      <c r="N45" s="10"/>
      <c r="O45" s="10"/>
      <c r="P45" s="10" t="s">
        <v>178</v>
      </c>
      <c r="Q45" s="10" t="s">
        <v>182</v>
      </c>
    </row>
    <row r="46" spans="1:17" x14ac:dyDescent="0.3">
      <c r="A46" s="10" t="s">
        <v>0</v>
      </c>
      <c r="B46" s="10" t="s">
        <v>52</v>
      </c>
      <c r="C46" s="10" t="s">
        <v>180</v>
      </c>
      <c r="D46" s="11">
        <v>25</v>
      </c>
      <c r="E46" s="10" t="s">
        <v>11</v>
      </c>
      <c r="F46" s="12"/>
      <c r="G46" s="12"/>
      <c r="H46" s="12">
        <v>0.7</v>
      </c>
      <c r="I46" s="12">
        <f t="shared" si="4"/>
        <v>0.7</v>
      </c>
      <c r="J46" s="13">
        <f t="shared" si="5"/>
        <v>3.5</v>
      </c>
      <c r="K46" s="14">
        <f t="shared" si="6"/>
        <v>17.5</v>
      </c>
      <c r="L46" s="15">
        <f t="shared" si="7"/>
        <v>87.5</v>
      </c>
      <c r="M46" s="10"/>
      <c r="N46" s="10"/>
      <c r="O46" s="10"/>
      <c r="P46" s="10" t="s">
        <v>178</v>
      </c>
      <c r="Q46" s="10" t="s">
        <v>182</v>
      </c>
    </row>
    <row r="47" spans="1:17" x14ac:dyDescent="0.3">
      <c r="A47" s="10" t="s">
        <v>0</v>
      </c>
      <c r="B47" s="10" t="s">
        <v>53</v>
      </c>
      <c r="C47" s="10" t="s">
        <v>180</v>
      </c>
      <c r="D47" s="11">
        <v>25</v>
      </c>
      <c r="E47" s="10" t="s">
        <v>11</v>
      </c>
      <c r="F47" s="12"/>
      <c r="G47" s="12"/>
      <c r="H47" s="12">
        <v>1.5</v>
      </c>
      <c r="I47" s="12">
        <f t="shared" si="4"/>
        <v>1.5</v>
      </c>
      <c r="J47" s="13">
        <f t="shared" si="5"/>
        <v>7.5</v>
      </c>
      <c r="K47" s="14">
        <f t="shared" si="6"/>
        <v>37.5</v>
      </c>
      <c r="L47" s="15">
        <f t="shared" si="7"/>
        <v>187.5</v>
      </c>
      <c r="M47" s="10"/>
      <c r="N47" s="10"/>
      <c r="O47" s="10"/>
      <c r="P47" s="10" t="s">
        <v>178</v>
      </c>
      <c r="Q47" s="10" t="s">
        <v>186</v>
      </c>
    </row>
    <row r="48" spans="1:17" x14ac:dyDescent="0.3">
      <c r="A48" s="10" t="s">
        <v>0</v>
      </c>
      <c r="B48" s="10" t="s">
        <v>54</v>
      </c>
      <c r="C48" s="10" t="s">
        <v>180</v>
      </c>
      <c r="D48" s="11">
        <v>25</v>
      </c>
      <c r="E48" s="10" t="s">
        <v>11</v>
      </c>
      <c r="F48" s="12"/>
      <c r="G48" s="12"/>
      <c r="H48" s="12">
        <v>0.65</v>
      </c>
      <c r="I48" s="12">
        <f t="shared" si="4"/>
        <v>0.65</v>
      </c>
      <c r="J48" s="13">
        <f t="shared" si="5"/>
        <v>3.25</v>
      </c>
      <c r="K48" s="14">
        <f t="shared" si="6"/>
        <v>16.25</v>
      </c>
      <c r="L48" s="15">
        <f t="shared" si="7"/>
        <v>81.25</v>
      </c>
      <c r="M48" s="10"/>
      <c r="N48" s="10"/>
      <c r="O48" s="10"/>
      <c r="P48" s="10" t="s">
        <v>178</v>
      </c>
      <c r="Q48" s="10" t="s">
        <v>185</v>
      </c>
    </row>
    <row r="49" spans="1:17" x14ac:dyDescent="0.3">
      <c r="A49" s="10" t="s">
        <v>0</v>
      </c>
      <c r="B49" s="10" t="s">
        <v>55</v>
      </c>
      <c r="C49" s="10" t="s">
        <v>180</v>
      </c>
      <c r="D49" s="11">
        <v>25</v>
      </c>
      <c r="E49" s="10" t="s">
        <v>11</v>
      </c>
      <c r="F49" s="12"/>
      <c r="G49" s="12"/>
      <c r="H49" s="12">
        <v>0.65</v>
      </c>
      <c r="I49" s="12">
        <f t="shared" si="4"/>
        <v>0.65</v>
      </c>
      <c r="J49" s="13">
        <f t="shared" si="5"/>
        <v>3.25</v>
      </c>
      <c r="K49" s="14">
        <f t="shared" si="6"/>
        <v>16.25</v>
      </c>
      <c r="L49" s="15">
        <f t="shared" si="7"/>
        <v>81.25</v>
      </c>
      <c r="M49" s="10"/>
      <c r="N49" s="10"/>
      <c r="O49" s="10"/>
      <c r="P49" s="10" t="s">
        <v>178</v>
      </c>
      <c r="Q49" s="10" t="s">
        <v>185</v>
      </c>
    </row>
    <row r="50" spans="1:17" x14ac:dyDescent="0.3">
      <c r="A50" s="10" t="s">
        <v>0</v>
      </c>
      <c r="B50" s="10" t="s">
        <v>56</v>
      </c>
      <c r="C50" s="10" t="s">
        <v>180</v>
      </c>
      <c r="D50" s="11">
        <v>25</v>
      </c>
      <c r="E50" s="10" t="s">
        <v>11</v>
      </c>
      <c r="F50" s="12"/>
      <c r="G50" s="12"/>
      <c r="H50" s="12">
        <v>0.7</v>
      </c>
      <c r="I50" s="12">
        <f t="shared" si="4"/>
        <v>0.7</v>
      </c>
      <c r="J50" s="13">
        <f t="shared" si="5"/>
        <v>3.5</v>
      </c>
      <c r="K50" s="14">
        <f t="shared" si="6"/>
        <v>17.5</v>
      </c>
      <c r="L50" s="15">
        <f t="shared" si="7"/>
        <v>87.5</v>
      </c>
      <c r="M50" s="10"/>
      <c r="N50" s="10"/>
      <c r="O50" s="10"/>
      <c r="P50" s="10" t="s">
        <v>178</v>
      </c>
      <c r="Q50" s="10" t="s">
        <v>182</v>
      </c>
    </row>
    <row r="51" spans="1:17" x14ac:dyDescent="0.3">
      <c r="A51" s="10" t="s">
        <v>0</v>
      </c>
      <c r="B51" s="10" t="s">
        <v>57</v>
      </c>
      <c r="C51" s="10" t="s">
        <v>180</v>
      </c>
      <c r="D51" s="11">
        <v>25</v>
      </c>
      <c r="E51" s="10" t="s">
        <v>11</v>
      </c>
      <c r="F51" s="12"/>
      <c r="G51" s="12"/>
      <c r="H51" s="12">
        <v>0.65</v>
      </c>
      <c r="I51" s="12">
        <f t="shared" si="4"/>
        <v>0.65</v>
      </c>
      <c r="J51" s="13">
        <f t="shared" si="5"/>
        <v>3.25</v>
      </c>
      <c r="K51" s="14">
        <f t="shared" si="6"/>
        <v>16.25</v>
      </c>
      <c r="L51" s="15">
        <f t="shared" si="7"/>
        <v>81.25</v>
      </c>
      <c r="M51" s="10"/>
      <c r="N51" s="10"/>
      <c r="O51" s="10"/>
      <c r="P51" s="10" t="s">
        <v>178</v>
      </c>
      <c r="Q51" s="10" t="s">
        <v>185</v>
      </c>
    </row>
    <row r="52" spans="1:17" x14ac:dyDescent="0.3">
      <c r="A52" s="10" t="s">
        <v>0</v>
      </c>
      <c r="B52" s="10" t="s">
        <v>58</v>
      </c>
      <c r="C52" s="10" t="s">
        <v>180</v>
      </c>
      <c r="D52" s="11">
        <v>25</v>
      </c>
      <c r="E52" s="10" t="s">
        <v>11</v>
      </c>
      <c r="F52" s="12"/>
      <c r="G52" s="12"/>
      <c r="H52" s="12">
        <v>0.7</v>
      </c>
      <c r="I52" s="12">
        <f t="shared" si="4"/>
        <v>0.7</v>
      </c>
      <c r="J52" s="13">
        <f t="shared" si="5"/>
        <v>3.5</v>
      </c>
      <c r="K52" s="14">
        <f t="shared" si="6"/>
        <v>17.5</v>
      </c>
      <c r="L52" s="15">
        <f t="shared" si="7"/>
        <v>87.5</v>
      </c>
      <c r="M52" s="10"/>
      <c r="N52" s="10"/>
      <c r="O52" s="10"/>
      <c r="P52" s="10" t="s">
        <v>178</v>
      </c>
      <c r="Q52" s="10" t="s">
        <v>182</v>
      </c>
    </row>
    <row r="53" spans="1:17" x14ac:dyDescent="0.3">
      <c r="A53" s="10" t="s">
        <v>0</v>
      </c>
      <c r="B53" s="10" t="s">
        <v>59</v>
      </c>
      <c r="C53" s="10" t="s">
        <v>180</v>
      </c>
      <c r="D53" s="11">
        <v>25</v>
      </c>
      <c r="E53" s="10" t="s">
        <v>11</v>
      </c>
      <c r="F53" s="12"/>
      <c r="G53" s="12"/>
      <c r="H53" s="12">
        <v>0.65</v>
      </c>
      <c r="I53" s="12">
        <f t="shared" si="4"/>
        <v>0.65</v>
      </c>
      <c r="J53" s="13">
        <f t="shared" si="5"/>
        <v>3.25</v>
      </c>
      <c r="K53" s="14">
        <f t="shared" si="6"/>
        <v>16.25</v>
      </c>
      <c r="L53" s="15">
        <f t="shared" si="7"/>
        <v>81.25</v>
      </c>
      <c r="M53" s="10"/>
      <c r="N53" s="10"/>
      <c r="O53" s="10"/>
      <c r="P53" s="10" t="s">
        <v>178</v>
      </c>
      <c r="Q53" s="10" t="s">
        <v>185</v>
      </c>
    </row>
    <row r="54" spans="1:17" x14ac:dyDescent="0.3">
      <c r="A54" s="10" t="s">
        <v>0</v>
      </c>
      <c r="B54" s="10" t="s">
        <v>60</v>
      </c>
      <c r="C54" s="10" t="s">
        <v>180</v>
      </c>
      <c r="D54" s="11">
        <v>25</v>
      </c>
      <c r="E54" s="10" t="s">
        <v>11</v>
      </c>
      <c r="F54" s="12"/>
      <c r="G54" s="12"/>
      <c r="H54" s="12">
        <v>0.7</v>
      </c>
      <c r="I54" s="12">
        <f t="shared" si="4"/>
        <v>0.7</v>
      </c>
      <c r="J54" s="13">
        <f t="shared" si="5"/>
        <v>3.5</v>
      </c>
      <c r="K54" s="14">
        <f t="shared" si="6"/>
        <v>17.5</v>
      </c>
      <c r="L54" s="15">
        <f t="shared" si="7"/>
        <v>87.5</v>
      </c>
      <c r="M54" s="10"/>
      <c r="N54" s="10"/>
      <c r="O54" s="10"/>
      <c r="P54" s="10" t="s">
        <v>178</v>
      </c>
      <c r="Q54" s="10" t="s">
        <v>182</v>
      </c>
    </row>
    <row r="55" spans="1:17" x14ac:dyDescent="0.3">
      <c r="A55" s="10" t="s">
        <v>0</v>
      </c>
      <c r="B55" s="10" t="s">
        <v>61</v>
      </c>
      <c r="C55" s="10" t="s">
        <v>180</v>
      </c>
      <c r="D55" s="11">
        <v>25</v>
      </c>
      <c r="E55" s="10" t="s">
        <v>11</v>
      </c>
      <c r="F55" s="12"/>
      <c r="G55" s="12"/>
      <c r="H55" s="12">
        <v>0.7</v>
      </c>
      <c r="I55" s="12">
        <f t="shared" si="4"/>
        <v>0.7</v>
      </c>
      <c r="J55" s="13">
        <f t="shared" si="5"/>
        <v>3.5</v>
      </c>
      <c r="K55" s="14">
        <f t="shared" si="6"/>
        <v>17.5</v>
      </c>
      <c r="L55" s="15">
        <f t="shared" si="7"/>
        <v>87.5</v>
      </c>
      <c r="M55" s="10"/>
      <c r="N55" s="10"/>
      <c r="O55" s="10"/>
      <c r="P55" s="10" t="s">
        <v>178</v>
      </c>
      <c r="Q55" s="10" t="s">
        <v>182</v>
      </c>
    </row>
    <row r="56" spans="1:17" x14ac:dyDescent="0.3">
      <c r="A56" s="10" t="s">
        <v>0</v>
      </c>
      <c r="B56" s="10" t="s">
        <v>62</v>
      </c>
      <c r="C56" s="10" t="s">
        <v>180</v>
      </c>
      <c r="D56" s="11">
        <v>25</v>
      </c>
      <c r="E56" s="10" t="s">
        <v>11</v>
      </c>
      <c r="F56" s="12"/>
      <c r="G56" s="12"/>
      <c r="H56" s="12">
        <v>0.7</v>
      </c>
      <c r="I56" s="12">
        <f t="shared" si="4"/>
        <v>0.7</v>
      </c>
      <c r="J56" s="13">
        <f t="shared" si="5"/>
        <v>3.5</v>
      </c>
      <c r="K56" s="14">
        <f t="shared" si="6"/>
        <v>17.5</v>
      </c>
      <c r="L56" s="15">
        <f t="shared" si="7"/>
        <v>87.5</v>
      </c>
      <c r="M56" s="10"/>
      <c r="N56" s="10"/>
      <c r="O56" s="10"/>
      <c r="P56" s="10" t="s">
        <v>178</v>
      </c>
      <c r="Q56" s="10" t="s">
        <v>182</v>
      </c>
    </row>
    <row r="57" spans="1:17" x14ac:dyDescent="0.3">
      <c r="A57" s="10" t="s">
        <v>0</v>
      </c>
      <c r="B57" s="10" t="s">
        <v>63</v>
      </c>
      <c r="C57" s="10" t="s">
        <v>180</v>
      </c>
      <c r="D57" s="11">
        <v>25</v>
      </c>
      <c r="E57" s="10" t="s">
        <v>11</v>
      </c>
      <c r="F57" s="12"/>
      <c r="G57" s="12"/>
      <c r="H57" s="12">
        <v>0.7</v>
      </c>
      <c r="I57" s="12">
        <f t="shared" si="4"/>
        <v>0.7</v>
      </c>
      <c r="J57" s="13">
        <f t="shared" si="5"/>
        <v>3.5</v>
      </c>
      <c r="K57" s="14">
        <f t="shared" si="6"/>
        <v>17.5</v>
      </c>
      <c r="L57" s="15">
        <f t="shared" si="7"/>
        <v>87.5</v>
      </c>
      <c r="M57" s="10"/>
      <c r="N57" s="10"/>
      <c r="O57" s="10"/>
      <c r="P57" s="10" t="s">
        <v>178</v>
      </c>
      <c r="Q57" s="10" t="s">
        <v>182</v>
      </c>
    </row>
    <row r="58" spans="1:17" x14ac:dyDescent="0.3">
      <c r="A58" s="10" t="s">
        <v>0</v>
      </c>
      <c r="B58" s="10" t="s">
        <v>64</v>
      </c>
      <c r="C58" s="10" t="s">
        <v>180</v>
      </c>
      <c r="D58" s="11">
        <v>25</v>
      </c>
      <c r="E58" s="10" t="s">
        <v>11</v>
      </c>
      <c r="F58" s="12"/>
      <c r="G58" s="12"/>
      <c r="H58" s="12">
        <v>0.7</v>
      </c>
      <c r="I58" s="12">
        <f t="shared" si="4"/>
        <v>0.7</v>
      </c>
      <c r="J58" s="13">
        <f t="shared" si="5"/>
        <v>3.5</v>
      </c>
      <c r="K58" s="14">
        <f t="shared" si="6"/>
        <v>17.5</v>
      </c>
      <c r="L58" s="15">
        <f t="shared" si="7"/>
        <v>87.5</v>
      </c>
      <c r="M58" s="10"/>
      <c r="N58" s="10"/>
      <c r="O58" s="10"/>
      <c r="P58" s="10" t="s">
        <v>178</v>
      </c>
      <c r="Q58" s="10" t="s">
        <v>182</v>
      </c>
    </row>
    <row r="59" spans="1:17" x14ac:dyDescent="0.3">
      <c r="A59" s="10" t="s">
        <v>0</v>
      </c>
      <c r="B59" s="10" t="s">
        <v>65</v>
      </c>
      <c r="C59" s="10" t="s">
        <v>180</v>
      </c>
      <c r="D59" s="11">
        <v>25</v>
      </c>
      <c r="E59" s="10" t="s">
        <v>11</v>
      </c>
      <c r="F59" s="12"/>
      <c r="G59" s="12"/>
      <c r="H59" s="12">
        <v>0.7</v>
      </c>
      <c r="I59" s="12">
        <f t="shared" si="4"/>
        <v>0.7</v>
      </c>
      <c r="J59" s="13">
        <f t="shared" si="5"/>
        <v>3.5</v>
      </c>
      <c r="K59" s="14">
        <f t="shared" si="6"/>
        <v>17.5</v>
      </c>
      <c r="L59" s="15">
        <f t="shared" si="7"/>
        <v>87.5</v>
      </c>
      <c r="M59" s="10"/>
      <c r="N59" s="10"/>
      <c r="O59" s="10"/>
      <c r="P59" s="10" t="s">
        <v>178</v>
      </c>
      <c r="Q59" s="10" t="s">
        <v>182</v>
      </c>
    </row>
    <row r="60" spans="1:17" x14ac:dyDescent="0.3">
      <c r="A60" s="10" t="s">
        <v>0</v>
      </c>
      <c r="B60" s="10" t="s">
        <v>66</v>
      </c>
      <c r="C60" s="10" t="s">
        <v>180</v>
      </c>
      <c r="D60" s="11">
        <v>25</v>
      </c>
      <c r="E60" s="10" t="s">
        <v>11</v>
      </c>
      <c r="F60" s="12"/>
      <c r="G60" s="12"/>
      <c r="H60" s="12">
        <v>0.7</v>
      </c>
      <c r="I60" s="12">
        <f t="shared" si="4"/>
        <v>0.7</v>
      </c>
      <c r="J60" s="13">
        <f t="shared" si="5"/>
        <v>3.5</v>
      </c>
      <c r="K60" s="14">
        <f t="shared" si="6"/>
        <v>17.5</v>
      </c>
      <c r="L60" s="15">
        <f t="shared" si="7"/>
        <v>87.5</v>
      </c>
      <c r="M60" s="10"/>
      <c r="N60" s="10"/>
      <c r="O60" s="10"/>
      <c r="P60" s="10" t="s">
        <v>178</v>
      </c>
      <c r="Q60" s="10" t="s">
        <v>182</v>
      </c>
    </row>
    <row r="61" spans="1:17" x14ac:dyDescent="0.3">
      <c r="A61" s="10" t="s">
        <v>0</v>
      </c>
      <c r="B61" s="10" t="s">
        <v>67</v>
      </c>
      <c r="C61" s="10" t="s">
        <v>180</v>
      </c>
      <c r="D61" s="11">
        <v>25</v>
      </c>
      <c r="E61" s="10" t="s">
        <v>11</v>
      </c>
      <c r="F61" s="12"/>
      <c r="G61" s="12"/>
      <c r="H61" s="12">
        <v>0.7</v>
      </c>
      <c r="I61" s="12">
        <f t="shared" si="4"/>
        <v>0.7</v>
      </c>
      <c r="J61" s="13">
        <f t="shared" si="5"/>
        <v>3.5</v>
      </c>
      <c r="K61" s="14">
        <f t="shared" si="6"/>
        <v>17.5</v>
      </c>
      <c r="L61" s="15">
        <f t="shared" si="7"/>
        <v>87.5</v>
      </c>
      <c r="M61" s="10"/>
      <c r="N61" s="10"/>
      <c r="O61" s="10"/>
      <c r="P61" s="10" t="s">
        <v>178</v>
      </c>
      <c r="Q61" s="10" t="s">
        <v>182</v>
      </c>
    </row>
    <row r="62" spans="1:17" x14ac:dyDescent="0.3">
      <c r="A62" s="10" t="s">
        <v>0</v>
      </c>
      <c r="B62" s="10" t="s">
        <v>68</v>
      </c>
      <c r="C62" s="10" t="s">
        <v>180</v>
      </c>
      <c r="D62" s="11">
        <v>25</v>
      </c>
      <c r="E62" s="10" t="s">
        <v>11</v>
      </c>
      <c r="F62" s="12"/>
      <c r="G62" s="12"/>
      <c r="H62" s="12">
        <v>0.7</v>
      </c>
      <c r="I62" s="12">
        <f t="shared" si="4"/>
        <v>0.7</v>
      </c>
      <c r="J62" s="13">
        <f t="shared" si="5"/>
        <v>3.5</v>
      </c>
      <c r="K62" s="14">
        <f t="shared" si="6"/>
        <v>17.5</v>
      </c>
      <c r="L62" s="15">
        <f t="shared" si="7"/>
        <v>87.5</v>
      </c>
      <c r="M62" s="10"/>
      <c r="N62" s="10"/>
      <c r="O62" s="10"/>
      <c r="P62" s="10" t="s">
        <v>178</v>
      </c>
      <c r="Q62" s="10" t="s">
        <v>182</v>
      </c>
    </row>
    <row r="63" spans="1:17" x14ac:dyDescent="0.3">
      <c r="A63" s="10" t="s">
        <v>0</v>
      </c>
      <c r="B63" s="10" t="s">
        <v>69</v>
      </c>
      <c r="C63" s="10" t="s">
        <v>180</v>
      </c>
      <c r="D63" s="11">
        <v>25</v>
      </c>
      <c r="E63" s="10" t="s">
        <v>11</v>
      </c>
      <c r="F63" s="12"/>
      <c r="G63" s="12"/>
      <c r="H63" s="12">
        <v>0.7</v>
      </c>
      <c r="I63" s="12">
        <f t="shared" si="4"/>
        <v>0.7</v>
      </c>
      <c r="J63" s="13">
        <f t="shared" si="5"/>
        <v>3.5</v>
      </c>
      <c r="K63" s="14">
        <f t="shared" si="6"/>
        <v>17.5</v>
      </c>
      <c r="L63" s="15">
        <f t="shared" si="7"/>
        <v>87.5</v>
      </c>
      <c r="M63" s="10"/>
      <c r="N63" s="10"/>
      <c r="O63" s="10"/>
      <c r="P63" s="10" t="s">
        <v>178</v>
      </c>
      <c r="Q63" s="10" t="s">
        <v>182</v>
      </c>
    </row>
    <row r="64" spans="1:17" x14ac:dyDescent="0.3">
      <c r="A64" s="10" t="s">
        <v>0</v>
      </c>
      <c r="B64" s="10" t="s">
        <v>70</v>
      </c>
      <c r="C64" s="10" t="s">
        <v>180</v>
      </c>
      <c r="D64" s="11">
        <v>25</v>
      </c>
      <c r="E64" s="10" t="s">
        <v>11</v>
      </c>
      <c r="F64" s="12"/>
      <c r="G64" s="12"/>
      <c r="H64" s="12">
        <v>0.7</v>
      </c>
      <c r="I64" s="12">
        <f t="shared" si="4"/>
        <v>0.7</v>
      </c>
      <c r="J64" s="13">
        <f t="shared" si="5"/>
        <v>3.5</v>
      </c>
      <c r="K64" s="14">
        <f t="shared" si="6"/>
        <v>17.5</v>
      </c>
      <c r="L64" s="15">
        <f t="shared" si="7"/>
        <v>87.5</v>
      </c>
      <c r="M64" s="10"/>
      <c r="N64" s="10"/>
      <c r="O64" s="10"/>
      <c r="P64" s="10" t="s">
        <v>178</v>
      </c>
      <c r="Q64" s="10" t="s">
        <v>182</v>
      </c>
    </row>
    <row r="65" spans="1:17" x14ac:dyDescent="0.3">
      <c r="A65" s="10" t="s">
        <v>0</v>
      </c>
      <c r="B65" s="10" t="s">
        <v>71</v>
      </c>
      <c r="C65" s="10" t="s">
        <v>180</v>
      </c>
      <c r="D65" s="11">
        <v>25</v>
      </c>
      <c r="E65" s="10" t="s">
        <v>11</v>
      </c>
      <c r="F65" s="12"/>
      <c r="G65" s="12"/>
      <c r="H65" s="12">
        <v>0.7</v>
      </c>
      <c r="I65" s="12">
        <f t="shared" si="4"/>
        <v>0.7</v>
      </c>
      <c r="J65" s="13">
        <f t="shared" si="5"/>
        <v>3.5</v>
      </c>
      <c r="K65" s="14">
        <f t="shared" si="6"/>
        <v>17.5</v>
      </c>
      <c r="L65" s="15">
        <f t="shared" si="7"/>
        <v>87.5</v>
      </c>
      <c r="M65" s="10"/>
      <c r="N65" s="10"/>
      <c r="O65" s="10"/>
      <c r="P65" s="10" t="s">
        <v>178</v>
      </c>
      <c r="Q65" s="10" t="s">
        <v>182</v>
      </c>
    </row>
    <row r="66" spans="1:17" x14ac:dyDescent="0.3">
      <c r="A66" s="10" t="s">
        <v>0</v>
      </c>
      <c r="B66" s="10" t="s">
        <v>72</v>
      </c>
      <c r="C66" s="10" t="s">
        <v>180</v>
      </c>
      <c r="D66" s="11">
        <v>25</v>
      </c>
      <c r="E66" s="10" t="s">
        <v>11</v>
      </c>
      <c r="F66" s="12"/>
      <c r="G66" s="12"/>
      <c r="H66" s="12">
        <v>0.7</v>
      </c>
      <c r="I66" s="12">
        <f t="shared" si="4"/>
        <v>0.7</v>
      </c>
      <c r="J66" s="13">
        <f t="shared" si="5"/>
        <v>3.5</v>
      </c>
      <c r="K66" s="14">
        <f t="shared" si="6"/>
        <v>17.5</v>
      </c>
      <c r="L66" s="15">
        <f t="shared" si="7"/>
        <v>87.5</v>
      </c>
      <c r="M66" s="10"/>
      <c r="N66" s="10"/>
      <c r="O66" s="10"/>
      <c r="P66" s="10" t="s">
        <v>178</v>
      </c>
      <c r="Q66" s="10" t="s">
        <v>182</v>
      </c>
    </row>
    <row r="67" spans="1:17" x14ac:dyDescent="0.3">
      <c r="A67" s="10" t="s">
        <v>0</v>
      </c>
      <c r="B67" s="10" t="s">
        <v>73</v>
      </c>
      <c r="C67" s="10" t="s">
        <v>180</v>
      </c>
      <c r="D67" s="11">
        <v>25</v>
      </c>
      <c r="E67" s="10" t="s">
        <v>11</v>
      </c>
      <c r="F67" s="12"/>
      <c r="G67" s="12"/>
      <c r="H67" s="12">
        <v>0.7</v>
      </c>
      <c r="I67" s="12">
        <f t="shared" si="4"/>
        <v>0.7</v>
      </c>
      <c r="J67" s="13">
        <f t="shared" si="5"/>
        <v>3.5</v>
      </c>
      <c r="K67" s="14">
        <f t="shared" si="6"/>
        <v>17.5</v>
      </c>
      <c r="L67" s="15">
        <f t="shared" si="7"/>
        <v>87.5</v>
      </c>
      <c r="M67" s="10"/>
      <c r="N67" s="10"/>
      <c r="O67" s="10"/>
      <c r="P67" s="10" t="s">
        <v>178</v>
      </c>
      <c r="Q67" s="10" t="s">
        <v>182</v>
      </c>
    </row>
    <row r="68" spans="1:17" x14ac:dyDescent="0.3">
      <c r="A68" s="10" t="s">
        <v>0</v>
      </c>
      <c r="B68" s="10" t="s">
        <v>74</v>
      </c>
      <c r="C68" s="10" t="s">
        <v>180</v>
      </c>
      <c r="D68" s="11">
        <v>25</v>
      </c>
      <c r="E68" s="10" t="s">
        <v>11</v>
      </c>
      <c r="F68" s="12"/>
      <c r="G68" s="12"/>
      <c r="H68" s="12">
        <v>0.7</v>
      </c>
      <c r="I68" s="12">
        <f t="shared" ref="I68:I99" si="8">IF(F68&lt;&gt;"",F68,IF(G68&lt;&gt;"",G68,H68))</f>
        <v>0.7</v>
      </c>
      <c r="J68" s="13">
        <f t="shared" ref="J68:J99" si="9">I68*$B$2</f>
        <v>3.5</v>
      </c>
      <c r="K68" s="14">
        <f t="shared" ref="K68:K99" si="10">IF(E68="kg",I68*D68,"")</f>
        <v>17.5</v>
      </c>
      <c r="L68" s="15">
        <f t="shared" ref="L68:L99" si="11">IF(K68="","",K68*$B$2)</f>
        <v>87.5</v>
      </c>
      <c r="M68" s="10"/>
      <c r="N68" s="10"/>
      <c r="O68" s="10"/>
      <c r="P68" s="10" t="s">
        <v>178</v>
      </c>
      <c r="Q68" s="10" t="s">
        <v>182</v>
      </c>
    </row>
    <row r="69" spans="1:17" x14ac:dyDescent="0.3">
      <c r="A69" s="10" t="s">
        <v>0</v>
      </c>
      <c r="B69" s="10" t="s">
        <v>75</v>
      </c>
      <c r="C69" s="10" t="s">
        <v>180</v>
      </c>
      <c r="D69" s="11">
        <v>25</v>
      </c>
      <c r="E69" s="10" t="s">
        <v>11</v>
      </c>
      <c r="F69" s="12"/>
      <c r="G69" s="12"/>
      <c r="H69" s="12">
        <v>0.7</v>
      </c>
      <c r="I69" s="12">
        <f t="shared" si="8"/>
        <v>0.7</v>
      </c>
      <c r="J69" s="13">
        <f t="shared" si="9"/>
        <v>3.5</v>
      </c>
      <c r="K69" s="14">
        <f t="shared" si="10"/>
        <v>17.5</v>
      </c>
      <c r="L69" s="15">
        <f t="shared" si="11"/>
        <v>87.5</v>
      </c>
      <c r="M69" s="10"/>
      <c r="N69" s="10"/>
      <c r="O69" s="10"/>
      <c r="P69" s="10" t="s">
        <v>178</v>
      </c>
      <c r="Q69" s="10" t="s">
        <v>182</v>
      </c>
    </row>
    <row r="70" spans="1:17" x14ac:dyDescent="0.3">
      <c r="A70" s="10" t="s">
        <v>0</v>
      </c>
      <c r="B70" s="10" t="s">
        <v>76</v>
      </c>
      <c r="C70" s="10" t="s">
        <v>180</v>
      </c>
      <c r="D70" s="11">
        <v>25</v>
      </c>
      <c r="E70" s="10" t="s">
        <v>11</v>
      </c>
      <c r="F70" s="12"/>
      <c r="G70" s="12"/>
      <c r="H70" s="12">
        <v>0.7</v>
      </c>
      <c r="I70" s="12">
        <f t="shared" si="8"/>
        <v>0.7</v>
      </c>
      <c r="J70" s="13">
        <f t="shared" si="9"/>
        <v>3.5</v>
      </c>
      <c r="K70" s="14">
        <f t="shared" si="10"/>
        <v>17.5</v>
      </c>
      <c r="L70" s="15">
        <f t="shared" si="11"/>
        <v>87.5</v>
      </c>
      <c r="M70" s="10"/>
      <c r="N70" s="10"/>
      <c r="O70" s="10"/>
      <c r="P70" s="10" t="s">
        <v>178</v>
      </c>
      <c r="Q70" s="10" t="s">
        <v>182</v>
      </c>
    </row>
    <row r="71" spans="1:17" x14ac:dyDescent="0.3">
      <c r="A71" s="10" t="s">
        <v>0</v>
      </c>
      <c r="B71" s="10" t="s">
        <v>77</v>
      </c>
      <c r="C71" s="10" t="s">
        <v>180</v>
      </c>
      <c r="D71" s="11">
        <v>25</v>
      </c>
      <c r="E71" s="10" t="s">
        <v>11</v>
      </c>
      <c r="F71" s="12"/>
      <c r="G71" s="12"/>
      <c r="H71" s="12">
        <v>0.7</v>
      </c>
      <c r="I71" s="12">
        <f t="shared" si="8"/>
        <v>0.7</v>
      </c>
      <c r="J71" s="13">
        <f t="shared" si="9"/>
        <v>3.5</v>
      </c>
      <c r="K71" s="14">
        <f t="shared" si="10"/>
        <v>17.5</v>
      </c>
      <c r="L71" s="15">
        <f t="shared" si="11"/>
        <v>87.5</v>
      </c>
      <c r="M71" s="10"/>
      <c r="N71" s="10"/>
      <c r="O71" s="10"/>
      <c r="P71" s="10" t="s">
        <v>178</v>
      </c>
      <c r="Q71" s="10" t="s">
        <v>182</v>
      </c>
    </row>
    <row r="72" spans="1:17" x14ac:dyDescent="0.3">
      <c r="A72" s="10" t="s">
        <v>0</v>
      </c>
      <c r="B72" s="10" t="s">
        <v>78</v>
      </c>
      <c r="C72" s="10" t="s">
        <v>180</v>
      </c>
      <c r="D72" s="11">
        <v>25</v>
      </c>
      <c r="E72" s="10" t="s">
        <v>11</v>
      </c>
      <c r="F72" s="12"/>
      <c r="G72" s="12"/>
      <c r="H72" s="12">
        <v>0.7</v>
      </c>
      <c r="I72" s="12">
        <f t="shared" si="8"/>
        <v>0.7</v>
      </c>
      <c r="J72" s="13">
        <f t="shared" si="9"/>
        <v>3.5</v>
      </c>
      <c r="K72" s="14">
        <f t="shared" si="10"/>
        <v>17.5</v>
      </c>
      <c r="L72" s="15">
        <f t="shared" si="11"/>
        <v>87.5</v>
      </c>
      <c r="M72" s="10"/>
      <c r="N72" s="10"/>
      <c r="O72" s="10"/>
      <c r="P72" s="10" t="s">
        <v>178</v>
      </c>
      <c r="Q72" s="10" t="s">
        <v>182</v>
      </c>
    </row>
    <row r="73" spans="1:17" x14ac:dyDescent="0.3">
      <c r="A73" s="10" t="s">
        <v>0</v>
      </c>
      <c r="B73" s="10" t="s">
        <v>79</v>
      </c>
      <c r="C73" s="10" t="s">
        <v>180</v>
      </c>
      <c r="D73" s="11">
        <v>25</v>
      </c>
      <c r="E73" s="10" t="s">
        <v>11</v>
      </c>
      <c r="F73" s="12"/>
      <c r="G73" s="12"/>
      <c r="H73" s="12">
        <v>0.7</v>
      </c>
      <c r="I73" s="12">
        <f t="shared" si="8"/>
        <v>0.7</v>
      </c>
      <c r="J73" s="13">
        <f t="shared" si="9"/>
        <v>3.5</v>
      </c>
      <c r="K73" s="14">
        <f t="shared" si="10"/>
        <v>17.5</v>
      </c>
      <c r="L73" s="15">
        <f t="shared" si="11"/>
        <v>87.5</v>
      </c>
      <c r="M73" s="10"/>
      <c r="N73" s="10"/>
      <c r="O73" s="10"/>
      <c r="P73" s="10" t="s">
        <v>178</v>
      </c>
      <c r="Q73" s="10" t="s">
        <v>182</v>
      </c>
    </row>
    <row r="74" spans="1:17" x14ac:dyDescent="0.3">
      <c r="A74" s="10" t="s">
        <v>0</v>
      </c>
      <c r="B74" s="10" t="s">
        <v>80</v>
      </c>
      <c r="C74" s="10" t="s">
        <v>180</v>
      </c>
      <c r="D74" s="11">
        <v>25</v>
      </c>
      <c r="E74" s="10" t="s">
        <v>11</v>
      </c>
      <c r="F74" s="12"/>
      <c r="G74" s="12"/>
      <c r="H74" s="12">
        <v>0.7</v>
      </c>
      <c r="I74" s="12">
        <f t="shared" si="8"/>
        <v>0.7</v>
      </c>
      <c r="J74" s="13">
        <f t="shared" si="9"/>
        <v>3.5</v>
      </c>
      <c r="K74" s="14">
        <f t="shared" si="10"/>
        <v>17.5</v>
      </c>
      <c r="L74" s="15">
        <f t="shared" si="11"/>
        <v>87.5</v>
      </c>
      <c r="M74" s="10"/>
      <c r="N74" s="10"/>
      <c r="O74" s="10"/>
      <c r="P74" s="10" t="s">
        <v>178</v>
      </c>
      <c r="Q74" s="10" t="s">
        <v>182</v>
      </c>
    </row>
    <row r="75" spans="1:17" ht="39.6" x14ac:dyDescent="0.3">
      <c r="A75" s="10" t="s">
        <v>187</v>
      </c>
      <c r="B75" s="10" t="s">
        <v>81</v>
      </c>
      <c r="C75" s="10" t="s">
        <v>188</v>
      </c>
      <c r="D75" s="11">
        <v>200</v>
      </c>
      <c r="E75" s="10" t="s">
        <v>7</v>
      </c>
      <c r="F75" s="12"/>
      <c r="G75" s="12"/>
      <c r="H75" s="12">
        <v>6</v>
      </c>
      <c r="I75" s="12">
        <f t="shared" si="8"/>
        <v>6</v>
      </c>
      <c r="J75" s="13">
        <f t="shared" si="9"/>
        <v>30</v>
      </c>
      <c r="K75" s="14" t="str">
        <f t="shared" si="10"/>
        <v/>
      </c>
      <c r="L75" s="15" t="str">
        <f t="shared" si="11"/>
        <v/>
      </c>
      <c r="M75" s="10"/>
      <c r="N75" s="10"/>
      <c r="O75" s="10"/>
      <c r="P75" s="10" t="s">
        <v>178</v>
      </c>
      <c r="Q75" s="10" t="s">
        <v>189</v>
      </c>
    </row>
    <row r="76" spans="1:17" ht="39.6" x14ac:dyDescent="0.3">
      <c r="A76" s="10" t="s">
        <v>187</v>
      </c>
      <c r="B76" s="10" t="s">
        <v>83</v>
      </c>
      <c r="C76" s="10" t="s">
        <v>188</v>
      </c>
      <c r="D76" s="11">
        <v>200</v>
      </c>
      <c r="E76" s="10" t="s">
        <v>7</v>
      </c>
      <c r="F76" s="12"/>
      <c r="G76" s="12"/>
      <c r="H76" s="12">
        <v>80</v>
      </c>
      <c r="I76" s="12">
        <f t="shared" si="8"/>
        <v>80</v>
      </c>
      <c r="J76" s="13">
        <f t="shared" si="9"/>
        <v>400</v>
      </c>
      <c r="K76" s="14" t="str">
        <f t="shared" si="10"/>
        <v/>
      </c>
      <c r="L76" s="15" t="str">
        <f t="shared" si="11"/>
        <v/>
      </c>
      <c r="M76" s="10"/>
      <c r="N76" s="10"/>
      <c r="O76" s="10"/>
      <c r="P76" s="10" t="s">
        <v>178</v>
      </c>
      <c r="Q76" s="10" t="s">
        <v>190</v>
      </c>
    </row>
    <row r="77" spans="1:17" ht="39.6" x14ac:dyDescent="0.3">
      <c r="A77" s="10" t="s">
        <v>187</v>
      </c>
      <c r="B77" s="10" t="s">
        <v>84</v>
      </c>
      <c r="C77" s="10" t="s">
        <v>188</v>
      </c>
      <c r="D77" s="11">
        <v>200</v>
      </c>
      <c r="E77" s="10" t="s">
        <v>7</v>
      </c>
      <c r="F77" s="12"/>
      <c r="G77" s="12"/>
      <c r="H77" s="12">
        <v>6</v>
      </c>
      <c r="I77" s="12">
        <f t="shared" si="8"/>
        <v>6</v>
      </c>
      <c r="J77" s="13">
        <f t="shared" si="9"/>
        <v>30</v>
      </c>
      <c r="K77" s="14" t="str">
        <f t="shared" si="10"/>
        <v/>
      </c>
      <c r="L77" s="15" t="str">
        <f t="shared" si="11"/>
        <v/>
      </c>
      <c r="M77" s="10"/>
      <c r="N77" s="10"/>
      <c r="O77" s="10"/>
      <c r="P77" s="10" t="s">
        <v>178</v>
      </c>
      <c r="Q77" s="10" t="s">
        <v>189</v>
      </c>
    </row>
    <row r="78" spans="1:17" ht="39.6" x14ac:dyDescent="0.3">
      <c r="A78" s="10" t="s">
        <v>187</v>
      </c>
      <c r="B78" s="10" t="s">
        <v>85</v>
      </c>
      <c r="C78" s="10" t="s">
        <v>188</v>
      </c>
      <c r="D78" s="11">
        <v>200</v>
      </c>
      <c r="E78" s="10" t="s">
        <v>7</v>
      </c>
      <c r="F78" s="12"/>
      <c r="G78" s="12"/>
      <c r="H78" s="12">
        <v>6</v>
      </c>
      <c r="I78" s="12">
        <f t="shared" si="8"/>
        <v>6</v>
      </c>
      <c r="J78" s="13">
        <f t="shared" si="9"/>
        <v>30</v>
      </c>
      <c r="K78" s="14" t="str">
        <f t="shared" si="10"/>
        <v/>
      </c>
      <c r="L78" s="15" t="str">
        <f t="shared" si="11"/>
        <v/>
      </c>
      <c r="M78" s="10"/>
      <c r="N78" s="10"/>
      <c r="O78" s="10"/>
      <c r="P78" s="10" t="s">
        <v>178</v>
      </c>
      <c r="Q78" s="10" t="s">
        <v>189</v>
      </c>
    </row>
    <row r="79" spans="1:17" x14ac:dyDescent="0.3">
      <c r="A79" s="10" t="s">
        <v>187</v>
      </c>
      <c r="B79" s="10" t="s">
        <v>86</v>
      </c>
      <c r="C79" s="10" t="s">
        <v>180</v>
      </c>
      <c r="D79" s="11">
        <v>25</v>
      </c>
      <c r="E79" s="10" t="s">
        <v>11</v>
      </c>
      <c r="F79" s="12"/>
      <c r="G79" s="12"/>
      <c r="H79" s="12">
        <v>6</v>
      </c>
      <c r="I79" s="12">
        <f t="shared" si="8"/>
        <v>6</v>
      </c>
      <c r="J79" s="13">
        <f t="shared" si="9"/>
        <v>30</v>
      </c>
      <c r="K79" s="14">
        <f t="shared" si="10"/>
        <v>150</v>
      </c>
      <c r="L79" s="15">
        <f t="shared" si="11"/>
        <v>750</v>
      </c>
      <c r="M79" s="10"/>
      <c r="N79" s="10"/>
      <c r="O79" s="10"/>
      <c r="P79" s="10" t="s">
        <v>178</v>
      </c>
      <c r="Q79" s="10" t="s">
        <v>191</v>
      </c>
    </row>
    <row r="80" spans="1:17" ht="26.4" x14ac:dyDescent="0.3">
      <c r="A80" s="10" t="s">
        <v>187</v>
      </c>
      <c r="B80" s="10" t="s">
        <v>87</v>
      </c>
      <c r="C80" s="10" t="s">
        <v>180</v>
      </c>
      <c r="D80" s="11">
        <v>25</v>
      </c>
      <c r="E80" s="10" t="s">
        <v>11</v>
      </c>
      <c r="F80" s="12"/>
      <c r="G80" s="12">
        <v>1.3</v>
      </c>
      <c r="H80" s="12">
        <v>6</v>
      </c>
      <c r="I80" s="12">
        <f t="shared" si="8"/>
        <v>1.3</v>
      </c>
      <c r="J80" s="13">
        <f t="shared" si="9"/>
        <v>6.5</v>
      </c>
      <c r="K80" s="14">
        <f t="shared" si="10"/>
        <v>32.5</v>
      </c>
      <c r="L80" s="15">
        <f t="shared" si="11"/>
        <v>162.5</v>
      </c>
      <c r="M80" s="10"/>
      <c r="N80" s="10"/>
      <c r="O80" s="10" t="s">
        <v>192</v>
      </c>
      <c r="P80" s="10" t="s">
        <v>193</v>
      </c>
      <c r="Q80" s="10" t="s">
        <v>194</v>
      </c>
    </row>
    <row r="81" spans="1:17" x14ac:dyDescent="0.3">
      <c r="A81" s="10" t="s">
        <v>187</v>
      </c>
      <c r="B81" s="10" t="s">
        <v>89</v>
      </c>
      <c r="C81" s="10" t="s">
        <v>180</v>
      </c>
      <c r="D81" s="11">
        <v>25</v>
      </c>
      <c r="E81" s="10" t="s">
        <v>11</v>
      </c>
      <c r="F81" s="12"/>
      <c r="G81" s="12"/>
      <c r="H81" s="12">
        <v>6</v>
      </c>
      <c r="I81" s="12">
        <f t="shared" si="8"/>
        <v>6</v>
      </c>
      <c r="J81" s="13">
        <f t="shared" si="9"/>
        <v>30</v>
      </c>
      <c r="K81" s="14">
        <f t="shared" si="10"/>
        <v>150</v>
      </c>
      <c r="L81" s="15">
        <f t="shared" si="11"/>
        <v>750</v>
      </c>
      <c r="M81" s="10"/>
      <c r="N81" s="10"/>
      <c r="O81" s="10"/>
      <c r="P81" s="10" t="s">
        <v>178</v>
      </c>
      <c r="Q81" s="10" t="s">
        <v>195</v>
      </c>
    </row>
    <row r="82" spans="1:17" ht="26.4" x14ac:dyDescent="0.3">
      <c r="A82" s="10" t="s">
        <v>187</v>
      </c>
      <c r="B82" s="10" t="s">
        <v>90</v>
      </c>
      <c r="C82" s="10" t="s">
        <v>180</v>
      </c>
      <c r="D82" s="11">
        <v>25</v>
      </c>
      <c r="E82" s="10" t="s">
        <v>11</v>
      </c>
      <c r="F82" s="12"/>
      <c r="G82" s="12"/>
      <c r="H82" s="12">
        <v>6</v>
      </c>
      <c r="I82" s="12">
        <f t="shared" si="8"/>
        <v>6</v>
      </c>
      <c r="J82" s="13">
        <f t="shared" si="9"/>
        <v>30</v>
      </c>
      <c r="K82" s="14">
        <f t="shared" si="10"/>
        <v>150</v>
      </c>
      <c r="L82" s="15">
        <f t="shared" si="11"/>
        <v>750</v>
      </c>
      <c r="M82" s="10"/>
      <c r="N82" s="10"/>
      <c r="O82" s="10"/>
      <c r="P82" s="10" t="s">
        <v>178</v>
      </c>
      <c r="Q82" s="10" t="s">
        <v>195</v>
      </c>
    </row>
    <row r="83" spans="1:17" x14ac:dyDescent="0.3">
      <c r="A83" s="10" t="s">
        <v>187</v>
      </c>
      <c r="B83" s="10" t="s">
        <v>91</v>
      </c>
      <c r="C83" s="10" t="s">
        <v>180</v>
      </c>
      <c r="D83" s="11">
        <v>25</v>
      </c>
      <c r="E83" s="10" t="s">
        <v>11</v>
      </c>
      <c r="F83" s="12"/>
      <c r="G83" s="12"/>
      <c r="H83" s="12">
        <v>6</v>
      </c>
      <c r="I83" s="12">
        <f t="shared" si="8"/>
        <v>6</v>
      </c>
      <c r="J83" s="13">
        <f t="shared" si="9"/>
        <v>30</v>
      </c>
      <c r="K83" s="14">
        <f t="shared" si="10"/>
        <v>150</v>
      </c>
      <c r="L83" s="15">
        <f t="shared" si="11"/>
        <v>750</v>
      </c>
      <c r="M83" s="10"/>
      <c r="N83" s="10"/>
      <c r="O83" s="10"/>
      <c r="P83" s="10" t="s">
        <v>178</v>
      </c>
      <c r="Q83" s="10" t="s">
        <v>191</v>
      </c>
    </row>
    <row r="84" spans="1:17" x14ac:dyDescent="0.3">
      <c r="A84" s="10" t="s">
        <v>187</v>
      </c>
      <c r="B84" s="10" t="s">
        <v>92</v>
      </c>
      <c r="C84" s="10" t="s">
        <v>180</v>
      </c>
      <c r="D84" s="11">
        <v>25</v>
      </c>
      <c r="E84" s="10" t="s">
        <v>11</v>
      </c>
      <c r="F84" s="12"/>
      <c r="G84" s="12"/>
      <c r="H84" s="12">
        <v>4.5</v>
      </c>
      <c r="I84" s="12">
        <f t="shared" si="8"/>
        <v>4.5</v>
      </c>
      <c r="J84" s="13">
        <f t="shared" si="9"/>
        <v>22.5</v>
      </c>
      <c r="K84" s="14">
        <f t="shared" si="10"/>
        <v>112.5</v>
      </c>
      <c r="L84" s="15">
        <f t="shared" si="11"/>
        <v>562.5</v>
      </c>
      <c r="M84" s="10"/>
      <c r="N84" s="10"/>
      <c r="O84" s="10"/>
      <c r="P84" s="10" t="s">
        <v>178</v>
      </c>
      <c r="Q84" s="10" t="s">
        <v>196</v>
      </c>
    </row>
    <row r="85" spans="1:17" ht="39.6" x14ac:dyDescent="0.3">
      <c r="A85" s="10" t="s">
        <v>187</v>
      </c>
      <c r="B85" s="10" t="s">
        <v>93</v>
      </c>
      <c r="C85" s="10" t="s">
        <v>188</v>
      </c>
      <c r="D85" s="11">
        <v>200</v>
      </c>
      <c r="E85" s="10" t="s">
        <v>7</v>
      </c>
      <c r="F85" s="12"/>
      <c r="G85" s="12"/>
      <c r="H85" s="12">
        <v>4.5</v>
      </c>
      <c r="I85" s="12">
        <f t="shared" si="8"/>
        <v>4.5</v>
      </c>
      <c r="J85" s="13">
        <f t="shared" si="9"/>
        <v>22.5</v>
      </c>
      <c r="K85" s="14" t="str">
        <f t="shared" si="10"/>
        <v/>
      </c>
      <c r="L85" s="15" t="str">
        <f t="shared" si="11"/>
        <v/>
      </c>
      <c r="M85" s="10"/>
      <c r="N85" s="10"/>
      <c r="O85" s="10"/>
      <c r="P85" s="10" t="s">
        <v>178</v>
      </c>
      <c r="Q85" s="10" t="s">
        <v>197</v>
      </c>
    </row>
    <row r="86" spans="1:17" ht="26.4" x14ac:dyDescent="0.3">
      <c r="A86" s="10" t="s">
        <v>187</v>
      </c>
      <c r="B86" s="10" t="s">
        <v>94</v>
      </c>
      <c r="C86" s="10" t="s">
        <v>180</v>
      </c>
      <c r="D86" s="11">
        <v>25</v>
      </c>
      <c r="E86" s="10" t="s">
        <v>11</v>
      </c>
      <c r="F86" s="12"/>
      <c r="G86" s="12"/>
      <c r="H86" s="12">
        <v>4.5</v>
      </c>
      <c r="I86" s="12">
        <f t="shared" si="8"/>
        <v>4.5</v>
      </c>
      <c r="J86" s="13">
        <f t="shared" si="9"/>
        <v>22.5</v>
      </c>
      <c r="K86" s="14">
        <f t="shared" si="10"/>
        <v>112.5</v>
      </c>
      <c r="L86" s="15">
        <f t="shared" si="11"/>
        <v>562.5</v>
      </c>
      <c r="M86" s="10"/>
      <c r="N86" s="10"/>
      <c r="O86" s="10"/>
      <c r="P86" s="10" t="s">
        <v>178</v>
      </c>
      <c r="Q86" s="10" t="s">
        <v>196</v>
      </c>
    </row>
    <row r="87" spans="1:17" x14ac:dyDescent="0.3">
      <c r="A87" s="10" t="s">
        <v>187</v>
      </c>
      <c r="B87" s="10" t="s">
        <v>95</v>
      </c>
      <c r="C87" s="10" t="s">
        <v>180</v>
      </c>
      <c r="D87" s="11">
        <v>25</v>
      </c>
      <c r="E87" s="10" t="s">
        <v>11</v>
      </c>
      <c r="F87" s="12"/>
      <c r="G87" s="12"/>
      <c r="H87" s="12">
        <v>1.8</v>
      </c>
      <c r="I87" s="12">
        <f t="shared" si="8"/>
        <v>1.8</v>
      </c>
      <c r="J87" s="13">
        <f t="shared" si="9"/>
        <v>9</v>
      </c>
      <c r="K87" s="14">
        <f t="shared" si="10"/>
        <v>45</v>
      </c>
      <c r="L87" s="15">
        <f t="shared" si="11"/>
        <v>225</v>
      </c>
      <c r="M87" s="10"/>
      <c r="N87" s="10"/>
      <c r="O87" s="10"/>
      <c r="P87" s="10" t="s">
        <v>178</v>
      </c>
      <c r="Q87" s="10" t="s">
        <v>198</v>
      </c>
    </row>
    <row r="88" spans="1:17" x14ac:dyDescent="0.3">
      <c r="A88" s="10" t="s">
        <v>187</v>
      </c>
      <c r="B88" s="10" t="s">
        <v>96</v>
      </c>
      <c r="C88" s="10" t="s">
        <v>180</v>
      </c>
      <c r="D88" s="11">
        <v>25</v>
      </c>
      <c r="E88" s="10" t="s">
        <v>11</v>
      </c>
      <c r="F88" s="12"/>
      <c r="G88" s="12"/>
      <c r="H88" s="12">
        <v>1.8</v>
      </c>
      <c r="I88" s="12">
        <f t="shared" si="8"/>
        <v>1.8</v>
      </c>
      <c r="J88" s="13">
        <f t="shared" si="9"/>
        <v>9</v>
      </c>
      <c r="K88" s="14">
        <f t="shared" si="10"/>
        <v>45</v>
      </c>
      <c r="L88" s="15">
        <f t="shared" si="11"/>
        <v>225</v>
      </c>
      <c r="M88" s="10"/>
      <c r="N88" s="10"/>
      <c r="O88" s="10"/>
      <c r="P88" s="10" t="s">
        <v>178</v>
      </c>
      <c r="Q88" s="10" t="s">
        <v>198</v>
      </c>
    </row>
    <row r="89" spans="1:17" x14ac:dyDescent="0.3">
      <c r="A89" s="10" t="s">
        <v>187</v>
      </c>
      <c r="B89" s="10" t="s">
        <v>97</v>
      </c>
      <c r="C89" s="10" t="s">
        <v>180</v>
      </c>
      <c r="D89" s="11">
        <v>25</v>
      </c>
      <c r="E89" s="10" t="s">
        <v>11</v>
      </c>
      <c r="F89" s="12"/>
      <c r="G89" s="12"/>
      <c r="H89" s="12">
        <v>60</v>
      </c>
      <c r="I89" s="12">
        <f t="shared" si="8"/>
        <v>60</v>
      </c>
      <c r="J89" s="13">
        <f t="shared" si="9"/>
        <v>300</v>
      </c>
      <c r="K89" s="14">
        <f t="shared" si="10"/>
        <v>1500</v>
      </c>
      <c r="L89" s="15">
        <f t="shared" si="11"/>
        <v>7500</v>
      </c>
      <c r="M89" s="10"/>
      <c r="N89" s="10"/>
      <c r="O89" s="10"/>
      <c r="P89" s="10" t="s">
        <v>178</v>
      </c>
      <c r="Q89" s="10" t="s">
        <v>199</v>
      </c>
    </row>
    <row r="90" spans="1:17" x14ac:dyDescent="0.3">
      <c r="A90" s="10" t="s">
        <v>187</v>
      </c>
      <c r="B90" s="10" t="s">
        <v>98</v>
      </c>
      <c r="C90" s="10" t="s">
        <v>180</v>
      </c>
      <c r="D90" s="11">
        <v>25</v>
      </c>
      <c r="E90" s="10" t="s">
        <v>11</v>
      </c>
      <c r="F90" s="12"/>
      <c r="G90" s="12"/>
      <c r="H90" s="12">
        <v>6</v>
      </c>
      <c r="I90" s="12">
        <f t="shared" si="8"/>
        <v>6</v>
      </c>
      <c r="J90" s="13">
        <f t="shared" si="9"/>
        <v>30</v>
      </c>
      <c r="K90" s="14">
        <f t="shared" si="10"/>
        <v>150</v>
      </c>
      <c r="L90" s="15">
        <f t="shared" si="11"/>
        <v>750</v>
      </c>
      <c r="M90" s="10"/>
      <c r="N90" s="10"/>
      <c r="O90" s="10"/>
      <c r="P90" s="10" t="s">
        <v>178</v>
      </c>
      <c r="Q90" s="10" t="s">
        <v>191</v>
      </c>
    </row>
    <row r="91" spans="1:17" ht="39.6" x14ac:dyDescent="0.3">
      <c r="A91" s="10" t="s">
        <v>187</v>
      </c>
      <c r="B91" s="10" t="s">
        <v>99</v>
      </c>
      <c r="C91" s="10" t="s">
        <v>188</v>
      </c>
      <c r="D91" s="11">
        <v>200</v>
      </c>
      <c r="E91" s="10" t="s">
        <v>7</v>
      </c>
      <c r="F91" s="12"/>
      <c r="G91" s="12"/>
      <c r="H91" s="12">
        <v>4.5</v>
      </c>
      <c r="I91" s="12">
        <f t="shared" si="8"/>
        <v>4.5</v>
      </c>
      <c r="J91" s="13">
        <f t="shared" si="9"/>
        <v>22.5</v>
      </c>
      <c r="K91" s="14" t="str">
        <f t="shared" si="10"/>
        <v/>
      </c>
      <c r="L91" s="15" t="str">
        <f t="shared" si="11"/>
        <v/>
      </c>
      <c r="M91" s="10"/>
      <c r="N91" s="10"/>
      <c r="O91" s="10"/>
      <c r="P91" s="10" t="s">
        <v>178</v>
      </c>
      <c r="Q91" s="10" t="s">
        <v>197</v>
      </c>
    </row>
    <row r="92" spans="1:17" ht="39.6" x14ac:dyDescent="0.3">
      <c r="A92" s="10" t="s">
        <v>187</v>
      </c>
      <c r="B92" s="10" t="s">
        <v>100</v>
      </c>
      <c r="C92" s="10" t="s">
        <v>188</v>
      </c>
      <c r="D92" s="11">
        <v>200</v>
      </c>
      <c r="E92" s="10" t="s">
        <v>7</v>
      </c>
      <c r="F92" s="12"/>
      <c r="G92" s="12"/>
      <c r="H92" s="12">
        <v>1.8</v>
      </c>
      <c r="I92" s="12">
        <f t="shared" si="8"/>
        <v>1.8</v>
      </c>
      <c r="J92" s="13">
        <f t="shared" si="9"/>
        <v>9</v>
      </c>
      <c r="K92" s="14" t="str">
        <f t="shared" si="10"/>
        <v/>
      </c>
      <c r="L92" s="15" t="str">
        <f t="shared" si="11"/>
        <v/>
      </c>
      <c r="M92" s="10"/>
      <c r="N92" s="10"/>
      <c r="O92" s="10"/>
      <c r="P92" s="10" t="s">
        <v>178</v>
      </c>
      <c r="Q92" s="10" t="s">
        <v>200</v>
      </c>
    </row>
    <row r="93" spans="1:17" x14ac:dyDescent="0.3">
      <c r="A93" s="10" t="s">
        <v>187</v>
      </c>
      <c r="B93" s="10" t="s">
        <v>101</v>
      </c>
      <c r="C93" s="10" t="s">
        <v>180</v>
      </c>
      <c r="D93" s="11">
        <v>25</v>
      </c>
      <c r="E93" s="10" t="s">
        <v>11</v>
      </c>
      <c r="F93" s="12"/>
      <c r="G93" s="12"/>
      <c r="H93" s="12">
        <v>6</v>
      </c>
      <c r="I93" s="12">
        <f t="shared" si="8"/>
        <v>6</v>
      </c>
      <c r="J93" s="13">
        <f t="shared" si="9"/>
        <v>30</v>
      </c>
      <c r="K93" s="14">
        <f t="shared" si="10"/>
        <v>150</v>
      </c>
      <c r="L93" s="15">
        <f t="shared" si="11"/>
        <v>750</v>
      </c>
      <c r="M93" s="10"/>
      <c r="N93" s="10"/>
      <c r="O93" s="10"/>
      <c r="P93" s="10" t="s">
        <v>178</v>
      </c>
      <c r="Q93" s="10" t="s">
        <v>191</v>
      </c>
    </row>
    <row r="94" spans="1:17" ht="39.6" x14ac:dyDescent="0.3">
      <c r="A94" s="10" t="s">
        <v>187</v>
      </c>
      <c r="B94" s="10" t="s">
        <v>102</v>
      </c>
      <c r="C94" s="10" t="s">
        <v>188</v>
      </c>
      <c r="D94" s="11">
        <v>200</v>
      </c>
      <c r="E94" s="10" t="s">
        <v>7</v>
      </c>
      <c r="F94" s="12"/>
      <c r="G94" s="12"/>
      <c r="H94" s="12">
        <v>4.5</v>
      </c>
      <c r="I94" s="12">
        <f t="shared" si="8"/>
        <v>4.5</v>
      </c>
      <c r="J94" s="13">
        <f t="shared" si="9"/>
        <v>22.5</v>
      </c>
      <c r="K94" s="14" t="str">
        <f t="shared" si="10"/>
        <v/>
      </c>
      <c r="L94" s="15" t="str">
        <f t="shared" si="11"/>
        <v/>
      </c>
      <c r="M94" s="10"/>
      <c r="N94" s="10"/>
      <c r="O94" s="10"/>
      <c r="P94" s="10" t="s">
        <v>178</v>
      </c>
      <c r="Q94" s="10" t="s">
        <v>197</v>
      </c>
    </row>
    <row r="95" spans="1:17" x14ac:dyDescent="0.3">
      <c r="A95" s="10" t="s">
        <v>187</v>
      </c>
      <c r="B95" s="10" t="s">
        <v>103</v>
      </c>
      <c r="C95" s="10" t="s">
        <v>180</v>
      </c>
      <c r="D95" s="11">
        <v>25</v>
      </c>
      <c r="E95" s="10" t="s">
        <v>11</v>
      </c>
      <c r="F95" s="12"/>
      <c r="G95" s="12"/>
      <c r="H95" s="12">
        <v>4.5</v>
      </c>
      <c r="I95" s="12">
        <f t="shared" si="8"/>
        <v>4.5</v>
      </c>
      <c r="J95" s="13">
        <f t="shared" si="9"/>
        <v>22.5</v>
      </c>
      <c r="K95" s="14">
        <f t="shared" si="10"/>
        <v>112.5</v>
      </c>
      <c r="L95" s="15">
        <f t="shared" si="11"/>
        <v>562.5</v>
      </c>
      <c r="M95" s="10"/>
      <c r="N95" s="10"/>
      <c r="O95" s="10"/>
      <c r="P95" s="10" t="s">
        <v>178</v>
      </c>
      <c r="Q95" s="10" t="s">
        <v>196</v>
      </c>
    </row>
    <row r="96" spans="1:17" ht="39.6" x14ac:dyDescent="0.3">
      <c r="A96" s="10" t="s">
        <v>187</v>
      </c>
      <c r="B96" s="10" t="s">
        <v>104</v>
      </c>
      <c r="C96" s="10" t="s">
        <v>180</v>
      </c>
      <c r="D96" s="11">
        <v>25</v>
      </c>
      <c r="E96" s="10" t="s">
        <v>11</v>
      </c>
      <c r="F96" s="12"/>
      <c r="G96" s="12">
        <v>1.18</v>
      </c>
      <c r="H96" s="12">
        <v>4.5</v>
      </c>
      <c r="I96" s="12">
        <f t="shared" si="8"/>
        <v>1.18</v>
      </c>
      <c r="J96" s="13">
        <f t="shared" si="9"/>
        <v>5.8999999999999995</v>
      </c>
      <c r="K96" s="14">
        <f t="shared" si="10"/>
        <v>29.5</v>
      </c>
      <c r="L96" s="15">
        <f t="shared" si="11"/>
        <v>147.5</v>
      </c>
      <c r="M96" s="10"/>
      <c r="N96" s="10"/>
      <c r="O96" s="10" t="s">
        <v>201</v>
      </c>
      <c r="P96" s="10" t="s">
        <v>193</v>
      </c>
      <c r="Q96" s="10" t="s">
        <v>202</v>
      </c>
    </row>
    <row r="97" spans="1:17" x14ac:dyDescent="0.3">
      <c r="A97" s="10" t="s">
        <v>187</v>
      </c>
      <c r="B97" s="10" t="s">
        <v>106</v>
      </c>
      <c r="C97" s="10" t="s">
        <v>180</v>
      </c>
      <c r="D97" s="11">
        <v>25</v>
      </c>
      <c r="E97" s="10" t="s">
        <v>11</v>
      </c>
      <c r="F97" s="12"/>
      <c r="G97" s="12"/>
      <c r="H97" s="12">
        <v>6</v>
      </c>
      <c r="I97" s="12">
        <f t="shared" si="8"/>
        <v>6</v>
      </c>
      <c r="J97" s="13">
        <f t="shared" si="9"/>
        <v>30</v>
      </c>
      <c r="K97" s="14">
        <f t="shared" si="10"/>
        <v>150</v>
      </c>
      <c r="L97" s="15">
        <f t="shared" si="11"/>
        <v>750</v>
      </c>
      <c r="M97" s="10"/>
      <c r="N97" s="10"/>
      <c r="O97" s="10"/>
      <c r="P97" s="10" t="s">
        <v>178</v>
      </c>
      <c r="Q97" s="10" t="s">
        <v>191</v>
      </c>
    </row>
    <row r="98" spans="1:17" x14ac:dyDescent="0.3">
      <c r="A98" s="10" t="s">
        <v>187</v>
      </c>
      <c r="B98" s="10" t="s">
        <v>107</v>
      </c>
      <c r="C98" s="10" t="s">
        <v>180</v>
      </c>
      <c r="D98" s="11">
        <v>25</v>
      </c>
      <c r="E98" s="10" t="s">
        <v>11</v>
      </c>
      <c r="F98" s="12"/>
      <c r="G98" s="12"/>
      <c r="H98" s="12">
        <v>4.5</v>
      </c>
      <c r="I98" s="12">
        <f t="shared" si="8"/>
        <v>4.5</v>
      </c>
      <c r="J98" s="13">
        <f t="shared" si="9"/>
        <v>22.5</v>
      </c>
      <c r="K98" s="14">
        <f t="shared" si="10"/>
        <v>112.5</v>
      </c>
      <c r="L98" s="15">
        <f t="shared" si="11"/>
        <v>562.5</v>
      </c>
      <c r="M98" s="10"/>
      <c r="N98" s="10"/>
      <c r="O98" s="10"/>
      <c r="P98" s="10" t="s">
        <v>178</v>
      </c>
      <c r="Q98" s="10" t="s">
        <v>196</v>
      </c>
    </row>
    <row r="99" spans="1:17" x14ac:dyDescent="0.3">
      <c r="A99" s="10" t="s">
        <v>187</v>
      </c>
      <c r="B99" s="10" t="s">
        <v>108</v>
      </c>
      <c r="C99" s="10" t="s">
        <v>180</v>
      </c>
      <c r="D99" s="11">
        <v>25</v>
      </c>
      <c r="E99" s="10" t="s">
        <v>11</v>
      </c>
      <c r="F99" s="12"/>
      <c r="G99" s="12"/>
      <c r="H99" s="12">
        <v>6</v>
      </c>
      <c r="I99" s="12">
        <f t="shared" si="8"/>
        <v>6</v>
      </c>
      <c r="J99" s="13">
        <f t="shared" si="9"/>
        <v>30</v>
      </c>
      <c r="K99" s="14">
        <f t="shared" si="10"/>
        <v>150</v>
      </c>
      <c r="L99" s="15">
        <f t="shared" si="11"/>
        <v>750</v>
      </c>
      <c r="M99" s="10"/>
      <c r="N99" s="10"/>
      <c r="O99" s="10"/>
      <c r="P99" s="10" t="s">
        <v>178</v>
      </c>
      <c r="Q99" s="10" t="s">
        <v>191</v>
      </c>
    </row>
    <row r="100" spans="1:17" ht="26.4" x14ac:dyDescent="0.3">
      <c r="A100" s="10" t="s">
        <v>187</v>
      </c>
      <c r="B100" s="10" t="s">
        <v>109</v>
      </c>
      <c r="C100" s="10" t="s">
        <v>180</v>
      </c>
      <c r="D100" s="11">
        <v>25</v>
      </c>
      <c r="E100" s="10" t="s">
        <v>11</v>
      </c>
      <c r="F100" s="12"/>
      <c r="G100" s="12"/>
      <c r="H100" s="12">
        <v>1.8</v>
      </c>
      <c r="I100" s="12">
        <f t="shared" ref="I100:I131" si="12">IF(F100&lt;&gt;"",F100,IF(G100&lt;&gt;"",G100,H100))</f>
        <v>1.8</v>
      </c>
      <c r="J100" s="13">
        <f t="shared" ref="J100:J131" si="13">I100*$B$2</f>
        <v>9</v>
      </c>
      <c r="K100" s="14">
        <f t="shared" ref="K100:K131" si="14">IF(E100="kg",I100*D100,"")</f>
        <v>45</v>
      </c>
      <c r="L100" s="15">
        <f t="shared" ref="L100:L131" si="15">IF(K100="","",K100*$B$2)</f>
        <v>225</v>
      </c>
      <c r="M100" s="10"/>
      <c r="N100" s="10"/>
      <c r="O100" s="10"/>
      <c r="P100" s="10" t="s">
        <v>178</v>
      </c>
      <c r="Q100" s="10" t="s">
        <v>198</v>
      </c>
    </row>
    <row r="101" spans="1:17" ht="39.6" x14ac:dyDescent="0.3">
      <c r="A101" s="10" t="s">
        <v>187</v>
      </c>
      <c r="B101" s="10" t="s">
        <v>110</v>
      </c>
      <c r="C101" s="10" t="s">
        <v>180</v>
      </c>
      <c r="D101" s="11">
        <v>25</v>
      </c>
      <c r="E101" s="10" t="s">
        <v>11</v>
      </c>
      <c r="F101" s="12"/>
      <c r="G101" s="12">
        <v>1.35</v>
      </c>
      <c r="H101" s="12">
        <v>1.8</v>
      </c>
      <c r="I101" s="12">
        <f t="shared" si="12"/>
        <v>1.35</v>
      </c>
      <c r="J101" s="13">
        <f t="shared" si="13"/>
        <v>6.75</v>
      </c>
      <c r="K101" s="14">
        <f t="shared" si="14"/>
        <v>33.75</v>
      </c>
      <c r="L101" s="15">
        <f t="shared" si="15"/>
        <v>168.75</v>
      </c>
      <c r="M101" s="10"/>
      <c r="N101" s="10"/>
      <c r="O101" s="10" t="s">
        <v>203</v>
      </c>
      <c r="P101" s="10" t="s">
        <v>193</v>
      </c>
      <c r="Q101" s="10" t="s">
        <v>204</v>
      </c>
    </row>
    <row r="102" spans="1:17" x14ac:dyDescent="0.3">
      <c r="A102" s="10" t="s">
        <v>187</v>
      </c>
      <c r="B102" s="10" t="s">
        <v>112</v>
      </c>
      <c r="C102" s="10" t="s">
        <v>180</v>
      </c>
      <c r="D102" s="11">
        <v>25</v>
      </c>
      <c r="E102" s="10" t="s">
        <v>11</v>
      </c>
      <c r="F102" s="12"/>
      <c r="G102" s="12"/>
      <c r="H102" s="12">
        <v>60</v>
      </c>
      <c r="I102" s="12">
        <f t="shared" si="12"/>
        <v>60</v>
      </c>
      <c r="J102" s="13">
        <f t="shared" si="13"/>
        <v>300</v>
      </c>
      <c r="K102" s="14">
        <f t="shared" si="14"/>
        <v>1500</v>
      </c>
      <c r="L102" s="15">
        <f t="shared" si="15"/>
        <v>7500</v>
      </c>
      <c r="M102" s="10"/>
      <c r="N102" s="10"/>
      <c r="O102" s="10"/>
      <c r="P102" s="10" t="s">
        <v>178</v>
      </c>
      <c r="Q102" s="10" t="s">
        <v>199</v>
      </c>
    </row>
    <row r="103" spans="1:17" ht="52.8" x14ac:dyDescent="0.3">
      <c r="A103" s="10" t="s">
        <v>187</v>
      </c>
      <c r="B103" s="10" t="s">
        <v>113</v>
      </c>
      <c r="C103" s="10" t="s">
        <v>188</v>
      </c>
      <c r="D103" s="11">
        <v>200</v>
      </c>
      <c r="E103" s="10" t="s">
        <v>7</v>
      </c>
      <c r="F103" s="12"/>
      <c r="G103" s="12">
        <v>0.7</v>
      </c>
      <c r="H103" s="12">
        <v>5</v>
      </c>
      <c r="I103" s="12">
        <f t="shared" si="12"/>
        <v>0.7</v>
      </c>
      <c r="J103" s="13">
        <f t="shared" si="13"/>
        <v>3.5</v>
      </c>
      <c r="K103" s="14" t="str">
        <f t="shared" si="14"/>
        <v/>
      </c>
      <c r="L103" s="15" t="str">
        <f t="shared" si="15"/>
        <v/>
      </c>
      <c r="M103" s="10"/>
      <c r="N103" s="10"/>
      <c r="O103" s="10" t="s">
        <v>205</v>
      </c>
      <c r="P103" s="10" t="s">
        <v>193</v>
      </c>
      <c r="Q103" s="10" t="s">
        <v>206</v>
      </c>
    </row>
    <row r="104" spans="1:17" ht="39.6" x14ac:dyDescent="0.3">
      <c r="A104" s="10" t="s">
        <v>187</v>
      </c>
      <c r="B104" s="10" t="s">
        <v>115</v>
      </c>
      <c r="C104" s="10" t="s">
        <v>188</v>
      </c>
      <c r="D104" s="11">
        <v>200</v>
      </c>
      <c r="E104" s="10" t="s">
        <v>7</v>
      </c>
      <c r="F104" s="12"/>
      <c r="G104" s="12">
        <v>1.3</v>
      </c>
      <c r="H104" s="12">
        <v>5</v>
      </c>
      <c r="I104" s="12">
        <f t="shared" si="12"/>
        <v>1.3</v>
      </c>
      <c r="J104" s="13">
        <f t="shared" si="13"/>
        <v>6.5</v>
      </c>
      <c r="K104" s="14" t="str">
        <f t="shared" si="14"/>
        <v/>
      </c>
      <c r="L104" s="15" t="str">
        <f t="shared" si="15"/>
        <v/>
      </c>
      <c r="M104" s="10"/>
      <c r="N104" s="10"/>
      <c r="O104" s="10" t="s">
        <v>207</v>
      </c>
      <c r="P104" s="10" t="s">
        <v>193</v>
      </c>
      <c r="Q104" s="10" t="s">
        <v>208</v>
      </c>
    </row>
    <row r="105" spans="1:17" ht="39.6" x14ac:dyDescent="0.3">
      <c r="A105" s="10" t="s">
        <v>187</v>
      </c>
      <c r="B105" s="10" t="s">
        <v>117</v>
      </c>
      <c r="C105" s="10" t="s">
        <v>188</v>
      </c>
      <c r="D105" s="11">
        <v>200</v>
      </c>
      <c r="E105" s="10" t="s">
        <v>7</v>
      </c>
      <c r="F105" s="12"/>
      <c r="G105" s="12"/>
      <c r="H105" s="12">
        <v>4.5</v>
      </c>
      <c r="I105" s="12">
        <f t="shared" si="12"/>
        <v>4.5</v>
      </c>
      <c r="J105" s="13">
        <f t="shared" si="13"/>
        <v>22.5</v>
      </c>
      <c r="K105" s="14" t="str">
        <f t="shared" si="14"/>
        <v/>
      </c>
      <c r="L105" s="15" t="str">
        <f t="shared" si="15"/>
        <v/>
      </c>
      <c r="M105" s="10"/>
      <c r="N105" s="10"/>
      <c r="O105" s="10"/>
      <c r="P105" s="10" t="s">
        <v>178</v>
      </c>
      <c r="Q105" s="10" t="s">
        <v>197</v>
      </c>
    </row>
    <row r="106" spans="1:17" ht="92.4" x14ac:dyDescent="0.3">
      <c r="A106" s="10" t="s">
        <v>187</v>
      </c>
      <c r="B106" s="10" t="s">
        <v>118</v>
      </c>
      <c r="C106" s="10" t="s">
        <v>188</v>
      </c>
      <c r="D106" s="11">
        <v>200</v>
      </c>
      <c r="E106" s="10" t="s">
        <v>7</v>
      </c>
      <c r="F106" s="12"/>
      <c r="G106" s="12">
        <v>1.35</v>
      </c>
      <c r="H106" s="12">
        <v>5</v>
      </c>
      <c r="I106" s="12">
        <f t="shared" si="12"/>
        <v>1.35</v>
      </c>
      <c r="J106" s="13">
        <f t="shared" si="13"/>
        <v>6.75</v>
      </c>
      <c r="K106" s="14" t="str">
        <f t="shared" si="14"/>
        <v/>
      </c>
      <c r="L106" s="15" t="str">
        <f t="shared" si="15"/>
        <v/>
      </c>
      <c r="M106" s="10"/>
      <c r="N106" s="10"/>
      <c r="O106" s="10" t="s">
        <v>209</v>
      </c>
      <c r="P106" s="10" t="s">
        <v>193</v>
      </c>
      <c r="Q106" s="10" t="s">
        <v>210</v>
      </c>
    </row>
    <row r="107" spans="1:17" x14ac:dyDescent="0.3">
      <c r="A107" s="10" t="s">
        <v>187</v>
      </c>
      <c r="B107" s="10" t="s">
        <v>120</v>
      </c>
      <c r="C107" s="10" t="s">
        <v>180</v>
      </c>
      <c r="D107" s="11">
        <v>25</v>
      </c>
      <c r="E107" s="10" t="s">
        <v>11</v>
      </c>
      <c r="F107" s="12"/>
      <c r="G107" s="12"/>
      <c r="H107" s="12">
        <v>6</v>
      </c>
      <c r="I107" s="12">
        <f t="shared" si="12"/>
        <v>6</v>
      </c>
      <c r="J107" s="13">
        <f t="shared" si="13"/>
        <v>30</v>
      </c>
      <c r="K107" s="14">
        <f t="shared" si="14"/>
        <v>150</v>
      </c>
      <c r="L107" s="15">
        <f t="shared" si="15"/>
        <v>750</v>
      </c>
      <c r="M107" s="10"/>
      <c r="N107" s="10"/>
      <c r="O107" s="10"/>
      <c r="P107" s="10" t="s">
        <v>178</v>
      </c>
      <c r="Q107" s="10" t="s">
        <v>211</v>
      </c>
    </row>
    <row r="108" spans="1:17" ht="39.6" x14ac:dyDescent="0.3">
      <c r="A108" s="10" t="s">
        <v>187</v>
      </c>
      <c r="B108" s="10" t="s">
        <v>121</v>
      </c>
      <c r="C108" s="10" t="s">
        <v>188</v>
      </c>
      <c r="D108" s="11">
        <v>200</v>
      </c>
      <c r="E108" s="10" t="s">
        <v>7</v>
      </c>
      <c r="F108" s="12"/>
      <c r="G108" s="12"/>
      <c r="H108" s="12">
        <v>4.5</v>
      </c>
      <c r="I108" s="12">
        <f t="shared" si="12"/>
        <v>4.5</v>
      </c>
      <c r="J108" s="13">
        <f t="shared" si="13"/>
        <v>22.5</v>
      </c>
      <c r="K108" s="14" t="str">
        <f t="shared" si="14"/>
        <v/>
      </c>
      <c r="L108" s="15" t="str">
        <f t="shared" si="15"/>
        <v/>
      </c>
      <c r="M108" s="10"/>
      <c r="N108" s="10"/>
      <c r="O108" s="10"/>
      <c r="P108" s="10" t="s">
        <v>178</v>
      </c>
      <c r="Q108" s="10" t="s">
        <v>197</v>
      </c>
    </row>
    <row r="109" spans="1:17" ht="39.6" x14ac:dyDescent="0.3">
      <c r="A109" s="10" t="s">
        <v>187</v>
      </c>
      <c r="B109" s="10" t="s">
        <v>122</v>
      </c>
      <c r="C109" s="10" t="s">
        <v>188</v>
      </c>
      <c r="D109" s="11">
        <v>200</v>
      </c>
      <c r="E109" s="10" t="s">
        <v>7</v>
      </c>
      <c r="F109" s="12"/>
      <c r="G109" s="12"/>
      <c r="H109" s="12">
        <v>5</v>
      </c>
      <c r="I109" s="12">
        <f t="shared" si="12"/>
        <v>5</v>
      </c>
      <c r="J109" s="13">
        <f t="shared" si="13"/>
        <v>25</v>
      </c>
      <c r="K109" s="14" t="str">
        <f t="shared" si="14"/>
        <v/>
      </c>
      <c r="L109" s="15" t="str">
        <f t="shared" si="15"/>
        <v/>
      </c>
      <c r="M109" s="10"/>
      <c r="N109" s="10"/>
      <c r="O109" s="10"/>
      <c r="P109" s="10" t="s">
        <v>178</v>
      </c>
      <c r="Q109" s="10" t="s">
        <v>212</v>
      </c>
    </row>
    <row r="110" spans="1:17" ht="39.6" x14ac:dyDescent="0.3">
      <c r="A110" s="10" t="s">
        <v>187</v>
      </c>
      <c r="B110" s="10" t="s">
        <v>123</v>
      </c>
      <c r="C110" s="10" t="s">
        <v>188</v>
      </c>
      <c r="D110" s="11">
        <v>200</v>
      </c>
      <c r="E110" s="10" t="s">
        <v>7</v>
      </c>
      <c r="F110" s="12"/>
      <c r="G110" s="12"/>
      <c r="H110" s="12">
        <v>4.5</v>
      </c>
      <c r="I110" s="12">
        <f t="shared" si="12"/>
        <v>4.5</v>
      </c>
      <c r="J110" s="13">
        <f t="shared" si="13"/>
        <v>22.5</v>
      </c>
      <c r="K110" s="14" t="str">
        <f t="shared" si="14"/>
        <v/>
      </c>
      <c r="L110" s="15" t="str">
        <f t="shared" si="15"/>
        <v/>
      </c>
      <c r="M110" s="10"/>
      <c r="N110" s="10"/>
      <c r="O110" s="10"/>
      <c r="P110" s="10" t="s">
        <v>178</v>
      </c>
      <c r="Q110" s="10" t="s">
        <v>197</v>
      </c>
    </row>
    <row r="111" spans="1:17" ht="39.6" x14ac:dyDescent="0.3">
      <c r="A111" s="10" t="s">
        <v>187</v>
      </c>
      <c r="B111" s="10" t="s">
        <v>124</v>
      </c>
      <c r="C111" s="10" t="s">
        <v>188</v>
      </c>
      <c r="D111" s="11">
        <v>200</v>
      </c>
      <c r="E111" s="10" t="s">
        <v>7</v>
      </c>
      <c r="F111" s="12"/>
      <c r="G111" s="12"/>
      <c r="H111" s="12">
        <v>4.5</v>
      </c>
      <c r="I111" s="12">
        <f t="shared" si="12"/>
        <v>4.5</v>
      </c>
      <c r="J111" s="13">
        <f t="shared" si="13"/>
        <v>22.5</v>
      </c>
      <c r="K111" s="14" t="str">
        <f t="shared" si="14"/>
        <v/>
      </c>
      <c r="L111" s="15" t="str">
        <f t="shared" si="15"/>
        <v/>
      </c>
      <c r="M111" s="10"/>
      <c r="N111" s="10"/>
      <c r="O111" s="10"/>
      <c r="P111" s="10" t="s">
        <v>178</v>
      </c>
      <c r="Q111" s="10" t="s">
        <v>197</v>
      </c>
    </row>
    <row r="112" spans="1:17" ht="39.6" x14ac:dyDescent="0.3">
      <c r="A112" s="10" t="s">
        <v>187</v>
      </c>
      <c r="B112" s="10" t="s">
        <v>125</v>
      </c>
      <c r="C112" s="10" t="s">
        <v>188</v>
      </c>
      <c r="D112" s="11">
        <v>200</v>
      </c>
      <c r="E112" s="10" t="s">
        <v>7</v>
      </c>
      <c r="F112" s="12"/>
      <c r="G112" s="12">
        <v>1.18</v>
      </c>
      <c r="H112" s="12">
        <v>4.5</v>
      </c>
      <c r="I112" s="12">
        <f t="shared" si="12"/>
        <v>1.18</v>
      </c>
      <c r="J112" s="13">
        <f t="shared" si="13"/>
        <v>5.8999999999999995</v>
      </c>
      <c r="K112" s="14" t="str">
        <f t="shared" si="14"/>
        <v/>
      </c>
      <c r="L112" s="15" t="str">
        <f t="shared" si="15"/>
        <v/>
      </c>
      <c r="M112" s="10"/>
      <c r="N112" s="10"/>
      <c r="O112" s="10" t="s">
        <v>201</v>
      </c>
      <c r="P112" s="10" t="s">
        <v>193</v>
      </c>
      <c r="Q112" s="10" t="s">
        <v>213</v>
      </c>
    </row>
    <row r="113" spans="1:17" x14ac:dyDescent="0.3">
      <c r="A113" s="10" t="s">
        <v>187</v>
      </c>
      <c r="B113" s="10" t="s">
        <v>126</v>
      </c>
      <c r="C113" s="10" t="s">
        <v>180</v>
      </c>
      <c r="D113" s="11">
        <v>25</v>
      </c>
      <c r="E113" s="10" t="s">
        <v>11</v>
      </c>
      <c r="F113" s="12"/>
      <c r="G113" s="12"/>
      <c r="H113" s="12">
        <v>1.8</v>
      </c>
      <c r="I113" s="12">
        <f t="shared" si="12"/>
        <v>1.8</v>
      </c>
      <c r="J113" s="13">
        <f t="shared" si="13"/>
        <v>9</v>
      </c>
      <c r="K113" s="14">
        <f t="shared" si="14"/>
        <v>45</v>
      </c>
      <c r="L113" s="15">
        <f t="shared" si="15"/>
        <v>225</v>
      </c>
      <c r="M113" s="10"/>
      <c r="N113" s="10"/>
      <c r="O113" s="10"/>
      <c r="P113" s="10" t="s">
        <v>178</v>
      </c>
      <c r="Q113" s="10" t="s">
        <v>198</v>
      </c>
    </row>
    <row r="114" spans="1:17" ht="26.4" x14ac:dyDescent="0.3">
      <c r="A114" s="10" t="s">
        <v>187</v>
      </c>
      <c r="B114" s="10" t="s">
        <v>127</v>
      </c>
      <c r="C114" s="10" t="s">
        <v>180</v>
      </c>
      <c r="D114" s="11">
        <v>25</v>
      </c>
      <c r="E114" s="10" t="s">
        <v>11</v>
      </c>
      <c r="F114" s="12"/>
      <c r="G114" s="12"/>
      <c r="H114" s="12">
        <v>6</v>
      </c>
      <c r="I114" s="12">
        <f t="shared" si="12"/>
        <v>6</v>
      </c>
      <c r="J114" s="13">
        <f t="shared" si="13"/>
        <v>30</v>
      </c>
      <c r="K114" s="14">
        <f t="shared" si="14"/>
        <v>150</v>
      </c>
      <c r="L114" s="15">
        <f t="shared" si="15"/>
        <v>750</v>
      </c>
      <c r="M114" s="10"/>
      <c r="N114" s="10"/>
      <c r="O114" s="10"/>
      <c r="P114" s="10" t="s">
        <v>178</v>
      </c>
      <c r="Q114" s="10" t="s">
        <v>191</v>
      </c>
    </row>
    <row r="115" spans="1:17" ht="39.6" x14ac:dyDescent="0.3">
      <c r="A115" s="10" t="s">
        <v>187</v>
      </c>
      <c r="B115" s="10" t="s">
        <v>128</v>
      </c>
      <c r="C115" s="10" t="s">
        <v>188</v>
      </c>
      <c r="D115" s="11">
        <v>200</v>
      </c>
      <c r="E115" s="10" t="s">
        <v>7</v>
      </c>
      <c r="F115" s="12"/>
      <c r="G115" s="12"/>
      <c r="H115" s="12">
        <v>1.8</v>
      </c>
      <c r="I115" s="12">
        <f t="shared" si="12"/>
        <v>1.8</v>
      </c>
      <c r="J115" s="13">
        <f t="shared" si="13"/>
        <v>9</v>
      </c>
      <c r="K115" s="14" t="str">
        <f t="shared" si="14"/>
        <v/>
      </c>
      <c r="L115" s="15" t="str">
        <f t="shared" si="15"/>
        <v/>
      </c>
      <c r="M115" s="10"/>
      <c r="N115" s="10"/>
      <c r="O115" s="10"/>
      <c r="P115" s="10" t="s">
        <v>178</v>
      </c>
      <c r="Q115" s="10" t="s">
        <v>200</v>
      </c>
    </row>
    <row r="116" spans="1:17" ht="39.6" x14ac:dyDescent="0.3">
      <c r="A116" s="10" t="s">
        <v>187</v>
      </c>
      <c r="B116" s="10" t="s">
        <v>129</v>
      </c>
      <c r="C116" s="10" t="s">
        <v>188</v>
      </c>
      <c r="D116" s="11">
        <v>200</v>
      </c>
      <c r="E116" s="10" t="s">
        <v>7</v>
      </c>
      <c r="F116" s="12"/>
      <c r="G116" s="12"/>
      <c r="H116" s="12">
        <v>15</v>
      </c>
      <c r="I116" s="12">
        <f t="shared" si="12"/>
        <v>15</v>
      </c>
      <c r="J116" s="13">
        <f t="shared" si="13"/>
        <v>75</v>
      </c>
      <c r="K116" s="14" t="str">
        <f t="shared" si="14"/>
        <v/>
      </c>
      <c r="L116" s="15" t="str">
        <f t="shared" si="15"/>
        <v/>
      </c>
      <c r="M116" s="10"/>
      <c r="N116" s="10"/>
      <c r="O116" s="10"/>
      <c r="P116" s="10" t="s">
        <v>178</v>
      </c>
      <c r="Q116" s="10" t="s">
        <v>214</v>
      </c>
    </row>
    <row r="117" spans="1:17" x14ac:dyDescent="0.3">
      <c r="A117" s="10" t="s">
        <v>187</v>
      </c>
      <c r="B117" s="10" t="s">
        <v>130</v>
      </c>
      <c r="C117" s="10" t="s">
        <v>180</v>
      </c>
      <c r="D117" s="11">
        <v>25</v>
      </c>
      <c r="E117" s="10" t="s">
        <v>11</v>
      </c>
      <c r="F117" s="12"/>
      <c r="G117" s="12"/>
      <c r="H117" s="12">
        <v>4</v>
      </c>
      <c r="I117" s="12">
        <f t="shared" si="12"/>
        <v>4</v>
      </c>
      <c r="J117" s="13">
        <f t="shared" si="13"/>
        <v>20</v>
      </c>
      <c r="K117" s="14">
        <f t="shared" si="14"/>
        <v>100</v>
      </c>
      <c r="L117" s="15">
        <f t="shared" si="15"/>
        <v>500</v>
      </c>
      <c r="M117" s="10"/>
      <c r="N117" s="10"/>
      <c r="O117" s="10"/>
      <c r="P117" s="10" t="s">
        <v>178</v>
      </c>
      <c r="Q117" s="10" t="s">
        <v>215</v>
      </c>
    </row>
    <row r="118" spans="1:17" x14ac:dyDescent="0.3">
      <c r="A118" s="10" t="s">
        <v>187</v>
      </c>
      <c r="B118" s="10" t="s">
        <v>131</v>
      </c>
      <c r="C118" s="10" t="s">
        <v>180</v>
      </c>
      <c r="D118" s="11">
        <v>25</v>
      </c>
      <c r="E118" s="10" t="s">
        <v>11</v>
      </c>
      <c r="F118" s="12"/>
      <c r="G118" s="12"/>
      <c r="H118" s="12">
        <v>1.8</v>
      </c>
      <c r="I118" s="12">
        <f t="shared" si="12"/>
        <v>1.8</v>
      </c>
      <c r="J118" s="13">
        <f t="shared" si="13"/>
        <v>9</v>
      </c>
      <c r="K118" s="14">
        <f t="shared" si="14"/>
        <v>45</v>
      </c>
      <c r="L118" s="15">
        <f t="shared" si="15"/>
        <v>225</v>
      </c>
      <c r="M118" s="10"/>
      <c r="N118" s="10"/>
      <c r="O118" s="10"/>
      <c r="P118" s="10" t="s">
        <v>178</v>
      </c>
      <c r="Q118" s="10" t="s">
        <v>198</v>
      </c>
    </row>
    <row r="119" spans="1:17" ht="39.6" x14ac:dyDescent="0.3">
      <c r="A119" s="10" t="s">
        <v>187</v>
      </c>
      <c r="B119" s="10" t="s">
        <v>132</v>
      </c>
      <c r="C119" s="10" t="s">
        <v>188</v>
      </c>
      <c r="D119" s="11">
        <v>200</v>
      </c>
      <c r="E119" s="10" t="s">
        <v>7</v>
      </c>
      <c r="F119" s="12"/>
      <c r="G119" s="12"/>
      <c r="H119" s="12">
        <v>15</v>
      </c>
      <c r="I119" s="12">
        <f t="shared" si="12"/>
        <v>15</v>
      </c>
      <c r="J119" s="13">
        <f t="shared" si="13"/>
        <v>75</v>
      </c>
      <c r="K119" s="14" t="str">
        <f t="shared" si="14"/>
        <v/>
      </c>
      <c r="L119" s="15" t="str">
        <f t="shared" si="15"/>
        <v/>
      </c>
      <c r="M119" s="10"/>
      <c r="N119" s="10"/>
      <c r="O119" s="10"/>
      <c r="P119" s="10" t="s">
        <v>178</v>
      </c>
      <c r="Q119" s="10" t="s">
        <v>214</v>
      </c>
    </row>
    <row r="120" spans="1:17" x14ac:dyDescent="0.3">
      <c r="A120" s="10" t="s">
        <v>187</v>
      </c>
      <c r="B120" s="10" t="s">
        <v>133</v>
      </c>
      <c r="C120" s="10" t="s">
        <v>180</v>
      </c>
      <c r="D120" s="11">
        <v>25</v>
      </c>
      <c r="E120" s="10" t="s">
        <v>11</v>
      </c>
      <c r="F120" s="12"/>
      <c r="G120" s="12"/>
      <c r="H120" s="12">
        <v>6</v>
      </c>
      <c r="I120" s="12">
        <f t="shared" si="12"/>
        <v>6</v>
      </c>
      <c r="J120" s="13">
        <f t="shared" si="13"/>
        <v>30</v>
      </c>
      <c r="K120" s="14">
        <f t="shared" si="14"/>
        <v>150</v>
      </c>
      <c r="L120" s="15">
        <f t="shared" si="15"/>
        <v>750</v>
      </c>
      <c r="M120" s="10"/>
      <c r="N120" s="10"/>
      <c r="O120" s="10"/>
      <c r="P120" s="10" t="s">
        <v>178</v>
      </c>
      <c r="Q120" s="10" t="s">
        <v>191</v>
      </c>
    </row>
    <row r="121" spans="1:17" x14ac:dyDescent="0.3">
      <c r="A121" s="10" t="s">
        <v>187</v>
      </c>
      <c r="B121" s="10" t="s">
        <v>134</v>
      </c>
      <c r="C121" s="10" t="s">
        <v>180</v>
      </c>
      <c r="D121" s="11">
        <v>25</v>
      </c>
      <c r="E121" s="10" t="s">
        <v>11</v>
      </c>
      <c r="F121" s="12"/>
      <c r="G121" s="12"/>
      <c r="H121" s="12">
        <v>4</v>
      </c>
      <c r="I121" s="12">
        <f t="shared" si="12"/>
        <v>4</v>
      </c>
      <c r="J121" s="13">
        <f t="shared" si="13"/>
        <v>20</v>
      </c>
      <c r="K121" s="14">
        <f t="shared" si="14"/>
        <v>100</v>
      </c>
      <c r="L121" s="15">
        <f t="shared" si="15"/>
        <v>500</v>
      </c>
      <c r="M121" s="10"/>
      <c r="N121" s="10"/>
      <c r="O121" s="10"/>
      <c r="P121" s="10" t="s">
        <v>178</v>
      </c>
      <c r="Q121" s="10" t="s">
        <v>215</v>
      </c>
    </row>
    <row r="122" spans="1:17" ht="39.6" x14ac:dyDescent="0.3">
      <c r="A122" s="10" t="s">
        <v>187</v>
      </c>
      <c r="B122" s="10" t="s">
        <v>135</v>
      </c>
      <c r="C122" s="10" t="s">
        <v>188</v>
      </c>
      <c r="D122" s="11">
        <v>200</v>
      </c>
      <c r="E122" s="10" t="s">
        <v>7</v>
      </c>
      <c r="F122" s="12"/>
      <c r="G122" s="12"/>
      <c r="H122" s="12">
        <v>1.8</v>
      </c>
      <c r="I122" s="12">
        <f t="shared" si="12"/>
        <v>1.8</v>
      </c>
      <c r="J122" s="13">
        <f t="shared" si="13"/>
        <v>9</v>
      </c>
      <c r="K122" s="14" t="str">
        <f t="shared" si="14"/>
        <v/>
      </c>
      <c r="L122" s="15" t="str">
        <f t="shared" si="15"/>
        <v/>
      </c>
      <c r="M122" s="10"/>
      <c r="N122" s="10"/>
      <c r="O122" s="10"/>
      <c r="P122" s="10" t="s">
        <v>178</v>
      </c>
      <c r="Q122" s="10" t="s">
        <v>200</v>
      </c>
    </row>
    <row r="123" spans="1:17" x14ac:dyDescent="0.3">
      <c r="A123" s="10" t="s">
        <v>187</v>
      </c>
      <c r="B123" s="10" t="s">
        <v>136</v>
      </c>
      <c r="C123" s="10" t="s">
        <v>180</v>
      </c>
      <c r="D123" s="11">
        <v>25</v>
      </c>
      <c r="E123" s="10" t="s">
        <v>11</v>
      </c>
      <c r="F123" s="12"/>
      <c r="G123" s="12"/>
      <c r="H123" s="12">
        <v>1.8</v>
      </c>
      <c r="I123" s="12">
        <f t="shared" si="12"/>
        <v>1.8</v>
      </c>
      <c r="J123" s="13">
        <f t="shared" si="13"/>
        <v>9</v>
      </c>
      <c r="K123" s="14">
        <f t="shared" si="14"/>
        <v>45</v>
      </c>
      <c r="L123" s="15">
        <f t="shared" si="15"/>
        <v>225</v>
      </c>
      <c r="M123" s="10"/>
      <c r="N123" s="10"/>
      <c r="O123" s="10"/>
      <c r="P123" s="10" t="s">
        <v>178</v>
      </c>
      <c r="Q123" s="10" t="s">
        <v>198</v>
      </c>
    </row>
    <row r="124" spans="1:17" x14ac:dyDescent="0.3">
      <c r="A124" s="10" t="s">
        <v>187</v>
      </c>
      <c r="B124" s="10" t="s">
        <v>137</v>
      </c>
      <c r="C124" s="10" t="s">
        <v>180</v>
      </c>
      <c r="D124" s="11">
        <v>25</v>
      </c>
      <c r="E124" s="10" t="s">
        <v>11</v>
      </c>
      <c r="F124" s="12"/>
      <c r="G124" s="12"/>
      <c r="H124" s="12">
        <v>6</v>
      </c>
      <c r="I124" s="12">
        <f t="shared" si="12"/>
        <v>6</v>
      </c>
      <c r="J124" s="13">
        <f t="shared" si="13"/>
        <v>30</v>
      </c>
      <c r="K124" s="14">
        <f t="shared" si="14"/>
        <v>150</v>
      </c>
      <c r="L124" s="15">
        <f t="shared" si="15"/>
        <v>750</v>
      </c>
      <c r="M124" s="10"/>
      <c r="N124" s="10"/>
      <c r="O124" s="10"/>
      <c r="P124" s="10" t="s">
        <v>178</v>
      </c>
      <c r="Q124" s="10" t="s">
        <v>191</v>
      </c>
    </row>
    <row r="125" spans="1:17" x14ac:dyDescent="0.3">
      <c r="A125" s="10" t="s">
        <v>187</v>
      </c>
      <c r="B125" s="10" t="s">
        <v>138</v>
      </c>
      <c r="C125" s="10" t="s">
        <v>180</v>
      </c>
      <c r="D125" s="11">
        <v>25</v>
      </c>
      <c r="E125" s="10" t="s">
        <v>11</v>
      </c>
      <c r="F125" s="12"/>
      <c r="G125" s="12"/>
      <c r="H125" s="12">
        <v>1.8</v>
      </c>
      <c r="I125" s="12">
        <f t="shared" si="12"/>
        <v>1.8</v>
      </c>
      <c r="J125" s="13">
        <f t="shared" si="13"/>
        <v>9</v>
      </c>
      <c r="K125" s="14">
        <f t="shared" si="14"/>
        <v>45</v>
      </c>
      <c r="L125" s="15">
        <f t="shared" si="15"/>
        <v>225</v>
      </c>
      <c r="M125" s="10"/>
      <c r="N125" s="10"/>
      <c r="O125" s="10"/>
      <c r="P125" s="10" t="s">
        <v>178</v>
      </c>
      <c r="Q125" s="10" t="s">
        <v>198</v>
      </c>
    </row>
    <row r="126" spans="1:17" x14ac:dyDescent="0.3">
      <c r="A126" s="10" t="s">
        <v>187</v>
      </c>
      <c r="B126" s="10" t="s">
        <v>139</v>
      </c>
      <c r="C126" s="10" t="s">
        <v>180</v>
      </c>
      <c r="D126" s="11">
        <v>25</v>
      </c>
      <c r="E126" s="10" t="s">
        <v>11</v>
      </c>
      <c r="F126" s="12"/>
      <c r="G126" s="12"/>
      <c r="H126" s="12">
        <v>6</v>
      </c>
      <c r="I126" s="12">
        <f t="shared" si="12"/>
        <v>6</v>
      </c>
      <c r="J126" s="13">
        <f t="shared" si="13"/>
        <v>30</v>
      </c>
      <c r="K126" s="14">
        <f t="shared" si="14"/>
        <v>150</v>
      </c>
      <c r="L126" s="15">
        <f t="shared" si="15"/>
        <v>750</v>
      </c>
      <c r="M126" s="10"/>
      <c r="N126" s="10"/>
      <c r="O126" s="10"/>
      <c r="P126" s="10" t="s">
        <v>178</v>
      </c>
      <c r="Q126" s="10" t="s">
        <v>191</v>
      </c>
    </row>
    <row r="127" spans="1:17" x14ac:dyDescent="0.3">
      <c r="A127" s="10" t="s">
        <v>187</v>
      </c>
      <c r="B127" s="10" t="s">
        <v>140</v>
      </c>
      <c r="C127" s="10" t="s">
        <v>180</v>
      </c>
      <c r="D127" s="11">
        <v>25</v>
      </c>
      <c r="E127" s="10" t="s">
        <v>11</v>
      </c>
      <c r="F127" s="12"/>
      <c r="G127" s="12"/>
      <c r="H127" s="12">
        <v>4</v>
      </c>
      <c r="I127" s="12">
        <f t="shared" si="12"/>
        <v>4</v>
      </c>
      <c r="J127" s="13">
        <f t="shared" si="13"/>
        <v>20</v>
      </c>
      <c r="K127" s="14">
        <f t="shared" si="14"/>
        <v>100</v>
      </c>
      <c r="L127" s="15">
        <f t="shared" si="15"/>
        <v>500</v>
      </c>
      <c r="M127" s="10"/>
      <c r="N127" s="10"/>
      <c r="O127" s="10"/>
      <c r="P127" s="10" t="s">
        <v>178</v>
      </c>
      <c r="Q127" s="10" t="s">
        <v>215</v>
      </c>
    </row>
    <row r="128" spans="1:17" ht="52.8" x14ac:dyDescent="0.3">
      <c r="A128" s="10" t="s">
        <v>187</v>
      </c>
      <c r="B128" s="10" t="s">
        <v>141</v>
      </c>
      <c r="C128" s="10" t="s">
        <v>188</v>
      </c>
      <c r="D128" s="11">
        <v>200</v>
      </c>
      <c r="E128" s="10" t="s">
        <v>7</v>
      </c>
      <c r="F128" s="12"/>
      <c r="G128" s="12">
        <v>1.2</v>
      </c>
      <c r="H128" s="12">
        <v>6</v>
      </c>
      <c r="I128" s="12">
        <f t="shared" si="12"/>
        <v>1.2</v>
      </c>
      <c r="J128" s="13">
        <f t="shared" si="13"/>
        <v>6</v>
      </c>
      <c r="K128" s="14" t="str">
        <f t="shared" si="14"/>
        <v/>
      </c>
      <c r="L128" s="15" t="str">
        <f t="shared" si="15"/>
        <v/>
      </c>
      <c r="M128" s="10"/>
      <c r="N128" s="10"/>
      <c r="O128" s="10" t="s">
        <v>216</v>
      </c>
      <c r="P128" s="10" t="s">
        <v>193</v>
      </c>
      <c r="Q128" s="10" t="s">
        <v>217</v>
      </c>
    </row>
    <row r="129" spans="1:17" ht="52.8" x14ac:dyDescent="0.3">
      <c r="A129" s="10" t="s">
        <v>187</v>
      </c>
      <c r="B129" s="10" t="s">
        <v>143</v>
      </c>
      <c r="C129" s="10" t="s">
        <v>180</v>
      </c>
      <c r="D129" s="11">
        <v>25</v>
      </c>
      <c r="E129" s="10" t="s">
        <v>11</v>
      </c>
      <c r="F129" s="12"/>
      <c r="G129" s="12">
        <v>1.2</v>
      </c>
      <c r="H129" s="12">
        <v>6</v>
      </c>
      <c r="I129" s="12">
        <f t="shared" si="12"/>
        <v>1.2</v>
      </c>
      <c r="J129" s="13">
        <f t="shared" si="13"/>
        <v>6</v>
      </c>
      <c r="K129" s="14">
        <f t="shared" si="14"/>
        <v>30</v>
      </c>
      <c r="L129" s="15">
        <f t="shared" si="15"/>
        <v>150</v>
      </c>
      <c r="M129" s="10"/>
      <c r="N129" s="10"/>
      <c r="O129" s="10" t="s">
        <v>216</v>
      </c>
      <c r="P129" s="10" t="s">
        <v>193</v>
      </c>
      <c r="Q129" s="10" t="s">
        <v>218</v>
      </c>
    </row>
    <row r="130" spans="1:17" x14ac:dyDescent="0.3">
      <c r="A130" s="10" t="s">
        <v>187</v>
      </c>
      <c r="B130" s="10" t="s">
        <v>144</v>
      </c>
      <c r="C130" s="10" t="s">
        <v>180</v>
      </c>
      <c r="D130" s="11">
        <v>25</v>
      </c>
      <c r="E130" s="10" t="s">
        <v>11</v>
      </c>
      <c r="F130" s="12"/>
      <c r="G130" s="12"/>
      <c r="H130" s="12">
        <v>6</v>
      </c>
      <c r="I130" s="12">
        <f t="shared" si="12"/>
        <v>6</v>
      </c>
      <c r="J130" s="13">
        <f t="shared" si="13"/>
        <v>30</v>
      </c>
      <c r="K130" s="14">
        <f t="shared" si="14"/>
        <v>150</v>
      </c>
      <c r="L130" s="15">
        <f t="shared" si="15"/>
        <v>750</v>
      </c>
      <c r="M130" s="10"/>
      <c r="N130" s="10"/>
      <c r="O130" s="10"/>
      <c r="P130" s="10" t="s">
        <v>178</v>
      </c>
      <c r="Q130" s="10" t="s">
        <v>211</v>
      </c>
    </row>
    <row r="131" spans="1:17" x14ac:dyDescent="0.3">
      <c r="A131" s="10" t="s">
        <v>187</v>
      </c>
      <c r="B131" s="10" t="s">
        <v>145</v>
      </c>
      <c r="C131" s="10" t="s">
        <v>180</v>
      </c>
      <c r="D131" s="11">
        <v>25</v>
      </c>
      <c r="E131" s="10" t="s">
        <v>11</v>
      </c>
      <c r="F131" s="12"/>
      <c r="G131" s="12"/>
      <c r="H131" s="12">
        <v>6</v>
      </c>
      <c r="I131" s="12">
        <f t="shared" si="12"/>
        <v>6</v>
      </c>
      <c r="J131" s="13">
        <f t="shared" si="13"/>
        <v>30</v>
      </c>
      <c r="K131" s="14">
        <f t="shared" si="14"/>
        <v>150</v>
      </c>
      <c r="L131" s="15">
        <f t="shared" si="15"/>
        <v>750</v>
      </c>
      <c r="M131" s="10"/>
      <c r="N131" s="10"/>
      <c r="O131" s="10"/>
      <c r="P131" s="10" t="s">
        <v>178</v>
      </c>
      <c r="Q131" s="10" t="s">
        <v>211</v>
      </c>
    </row>
    <row r="132" spans="1:17" x14ac:dyDescent="0.3">
      <c r="A132" s="10" t="s">
        <v>187</v>
      </c>
      <c r="B132" s="10" t="s">
        <v>146</v>
      </c>
      <c r="C132" s="10" t="s">
        <v>180</v>
      </c>
      <c r="D132" s="11">
        <v>25</v>
      </c>
      <c r="E132" s="10" t="s">
        <v>11</v>
      </c>
      <c r="F132" s="12"/>
      <c r="G132" s="12"/>
      <c r="H132" s="12">
        <v>6</v>
      </c>
      <c r="I132" s="12">
        <f t="shared" ref="I132:I163" si="16">IF(F132&lt;&gt;"",F132,IF(G132&lt;&gt;"",G132,H132))</f>
        <v>6</v>
      </c>
      <c r="J132" s="13">
        <f t="shared" ref="J132:J163" si="17">I132*$B$2</f>
        <v>30</v>
      </c>
      <c r="K132" s="14">
        <f t="shared" ref="K132:K142" si="18">IF(E132="kg",I132*D132,"")</f>
        <v>150</v>
      </c>
      <c r="L132" s="15">
        <f t="shared" ref="L132:L163" si="19">IF(K132="","",K132*$B$2)</f>
        <v>750</v>
      </c>
      <c r="M132" s="10"/>
      <c r="N132" s="10"/>
      <c r="O132" s="10"/>
      <c r="P132" s="10" t="s">
        <v>178</v>
      </c>
      <c r="Q132" s="10" t="s">
        <v>191</v>
      </c>
    </row>
    <row r="133" spans="1:17" ht="66" x14ac:dyDescent="0.3">
      <c r="A133" s="10" t="s">
        <v>187</v>
      </c>
      <c r="B133" s="10" t="s">
        <v>147</v>
      </c>
      <c r="C133" s="10" t="s">
        <v>188</v>
      </c>
      <c r="D133" s="11">
        <v>200</v>
      </c>
      <c r="E133" s="10" t="s">
        <v>7</v>
      </c>
      <c r="F133" s="12"/>
      <c r="G133" s="12">
        <v>2.6</v>
      </c>
      <c r="H133" s="12">
        <v>6</v>
      </c>
      <c r="I133" s="12">
        <f t="shared" si="16"/>
        <v>2.6</v>
      </c>
      <c r="J133" s="13">
        <f t="shared" si="17"/>
        <v>13</v>
      </c>
      <c r="K133" s="14" t="str">
        <f t="shared" si="18"/>
        <v/>
      </c>
      <c r="L133" s="15" t="str">
        <f t="shared" si="19"/>
        <v/>
      </c>
      <c r="M133" s="10"/>
      <c r="N133" s="10"/>
      <c r="O133" s="10" t="s">
        <v>219</v>
      </c>
      <c r="P133" s="10" t="s">
        <v>193</v>
      </c>
      <c r="Q133" s="10" t="s">
        <v>220</v>
      </c>
    </row>
    <row r="134" spans="1:17" ht="39.6" x14ac:dyDescent="0.3">
      <c r="A134" s="10" t="s">
        <v>187</v>
      </c>
      <c r="B134" s="10" t="s">
        <v>149</v>
      </c>
      <c r="C134" s="10" t="s">
        <v>188</v>
      </c>
      <c r="D134" s="11">
        <v>200</v>
      </c>
      <c r="E134" s="10" t="s">
        <v>7</v>
      </c>
      <c r="F134" s="12"/>
      <c r="G134" s="12">
        <v>14.5</v>
      </c>
      <c r="H134" s="12">
        <v>6</v>
      </c>
      <c r="I134" s="12">
        <f t="shared" si="16"/>
        <v>14.5</v>
      </c>
      <c r="J134" s="13">
        <f t="shared" si="17"/>
        <v>72.5</v>
      </c>
      <c r="K134" s="14" t="str">
        <f t="shared" si="18"/>
        <v/>
      </c>
      <c r="L134" s="15" t="str">
        <f t="shared" si="19"/>
        <v/>
      </c>
      <c r="M134" s="10"/>
      <c r="N134" s="10"/>
      <c r="O134" s="10" t="s">
        <v>221</v>
      </c>
      <c r="P134" s="10" t="s">
        <v>193</v>
      </c>
      <c r="Q134" s="10" t="s">
        <v>222</v>
      </c>
    </row>
    <row r="135" spans="1:17" x14ac:dyDescent="0.3">
      <c r="A135" s="10" t="s">
        <v>187</v>
      </c>
      <c r="B135" s="10" t="s">
        <v>151</v>
      </c>
      <c r="C135" s="10" t="s">
        <v>180</v>
      </c>
      <c r="D135" s="11">
        <v>25</v>
      </c>
      <c r="E135" s="10" t="s">
        <v>11</v>
      </c>
      <c r="F135" s="12"/>
      <c r="G135" s="12"/>
      <c r="H135" s="12">
        <v>6</v>
      </c>
      <c r="I135" s="12">
        <f t="shared" si="16"/>
        <v>6</v>
      </c>
      <c r="J135" s="13">
        <f t="shared" si="17"/>
        <v>30</v>
      </c>
      <c r="K135" s="14">
        <f t="shared" si="18"/>
        <v>150</v>
      </c>
      <c r="L135" s="15">
        <f t="shared" si="19"/>
        <v>750</v>
      </c>
      <c r="M135" s="10"/>
      <c r="N135" s="10"/>
      <c r="O135" s="10"/>
      <c r="P135" s="10" t="s">
        <v>178</v>
      </c>
      <c r="Q135" s="10" t="s">
        <v>191</v>
      </c>
    </row>
    <row r="136" spans="1:17" x14ac:dyDescent="0.3">
      <c r="A136" s="10" t="s">
        <v>187</v>
      </c>
      <c r="B136" s="10" t="s">
        <v>152</v>
      </c>
      <c r="C136" s="10" t="s">
        <v>180</v>
      </c>
      <c r="D136" s="11">
        <v>25</v>
      </c>
      <c r="E136" s="10" t="s">
        <v>11</v>
      </c>
      <c r="F136" s="12"/>
      <c r="G136" s="12"/>
      <c r="H136" s="12">
        <v>6</v>
      </c>
      <c r="I136" s="12">
        <f t="shared" si="16"/>
        <v>6</v>
      </c>
      <c r="J136" s="13">
        <f t="shared" si="17"/>
        <v>30</v>
      </c>
      <c r="K136" s="14">
        <f t="shared" si="18"/>
        <v>150</v>
      </c>
      <c r="L136" s="15">
        <f t="shared" si="19"/>
        <v>750</v>
      </c>
      <c r="M136" s="10"/>
      <c r="N136" s="10"/>
      <c r="O136" s="10"/>
      <c r="P136" s="10" t="s">
        <v>178</v>
      </c>
      <c r="Q136" s="10" t="s">
        <v>211</v>
      </c>
    </row>
    <row r="137" spans="1:17" ht="39.6" x14ac:dyDescent="0.3">
      <c r="A137" s="10" t="s">
        <v>187</v>
      </c>
      <c r="B137" s="10" t="s">
        <v>153</v>
      </c>
      <c r="C137" s="10" t="s">
        <v>188</v>
      </c>
      <c r="D137" s="11">
        <v>200</v>
      </c>
      <c r="E137" s="10" t="s">
        <v>7</v>
      </c>
      <c r="F137" s="12"/>
      <c r="G137" s="12"/>
      <c r="H137" s="12">
        <v>6</v>
      </c>
      <c r="I137" s="12">
        <f t="shared" si="16"/>
        <v>6</v>
      </c>
      <c r="J137" s="13">
        <f t="shared" si="17"/>
        <v>30</v>
      </c>
      <c r="K137" s="14" t="str">
        <f t="shared" si="18"/>
        <v/>
      </c>
      <c r="L137" s="15" t="str">
        <f t="shared" si="19"/>
        <v/>
      </c>
      <c r="M137" s="10"/>
      <c r="N137" s="10"/>
      <c r="O137" s="10"/>
      <c r="P137" s="10" t="s">
        <v>178</v>
      </c>
      <c r="Q137" s="10" t="s">
        <v>223</v>
      </c>
    </row>
    <row r="138" spans="1:17" ht="39.6" x14ac:dyDescent="0.3">
      <c r="A138" s="10" t="s">
        <v>187</v>
      </c>
      <c r="B138" s="10" t="s">
        <v>154</v>
      </c>
      <c r="C138" s="10" t="s">
        <v>188</v>
      </c>
      <c r="D138" s="11">
        <v>200</v>
      </c>
      <c r="E138" s="10" t="s">
        <v>7</v>
      </c>
      <c r="F138" s="12"/>
      <c r="G138" s="12"/>
      <c r="H138" s="12">
        <v>6</v>
      </c>
      <c r="I138" s="12">
        <f t="shared" si="16"/>
        <v>6</v>
      </c>
      <c r="J138" s="13">
        <f t="shared" si="17"/>
        <v>30</v>
      </c>
      <c r="K138" s="14" t="str">
        <f t="shared" si="18"/>
        <v/>
      </c>
      <c r="L138" s="15" t="str">
        <f t="shared" si="19"/>
        <v/>
      </c>
      <c r="M138" s="10"/>
      <c r="N138" s="10"/>
      <c r="O138" s="10"/>
      <c r="P138" s="10" t="s">
        <v>178</v>
      </c>
      <c r="Q138" s="10" t="s">
        <v>224</v>
      </c>
    </row>
    <row r="139" spans="1:17" ht="39.6" x14ac:dyDescent="0.3">
      <c r="A139" s="10" t="s">
        <v>187</v>
      </c>
      <c r="B139" s="10" t="s">
        <v>155</v>
      </c>
      <c r="C139" s="10" t="s">
        <v>188</v>
      </c>
      <c r="D139" s="11">
        <v>200</v>
      </c>
      <c r="E139" s="10" t="s">
        <v>7</v>
      </c>
      <c r="F139" s="12"/>
      <c r="G139" s="12"/>
      <c r="H139" s="12">
        <v>6</v>
      </c>
      <c r="I139" s="12">
        <f t="shared" si="16"/>
        <v>6</v>
      </c>
      <c r="J139" s="13">
        <f t="shared" si="17"/>
        <v>30</v>
      </c>
      <c r="K139" s="14" t="str">
        <f t="shared" si="18"/>
        <v/>
      </c>
      <c r="L139" s="15" t="str">
        <f t="shared" si="19"/>
        <v/>
      </c>
      <c r="M139" s="10"/>
      <c r="N139" s="10"/>
      <c r="O139" s="10"/>
      <c r="P139" s="10" t="s">
        <v>178</v>
      </c>
      <c r="Q139" s="10" t="s">
        <v>223</v>
      </c>
    </row>
    <row r="140" spans="1:17" ht="39.6" x14ac:dyDescent="0.3">
      <c r="A140" s="10" t="s">
        <v>187</v>
      </c>
      <c r="B140" s="10" t="s">
        <v>156</v>
      </c>
      <c r="C140" s="10" t="s">
        <v>188</v>
      </c>
      <c r="D140" s="11">
        <v>200</v>
      </c>
      <c r="E140" s="10" t="s">
        <v>7</v>
      </c>
      <c r="F140" s="12"/>
      <c r="G140" s="12"/>
      <c r="H140" s="12">
        <v>6</v>
      </c>
      <c r="I140" s="12">
        <f t="shared" si="16"/>
        <v>6</v>
      </c>
      <c r="J140" s="13">
        <f t="shared" si="17"/>
        <v>30</v>
      </c>
      <c r="K140" s="14" t="str">
        <f t="shared" si="18"/>
        <v/>
      </c>
      <c r="L140" s="15" t="str">
        <f t="shared" si="19"/>
        <v/>
      </c>
      <c r="M140" s="10"/>
      <c r="N140" s="10"/>
      <c r="O140" s="10"/>
      <c r="P140" s="10" t="s">
        <v>178</v>
      </c>
      <c r="Q140" s="10" t="s">
        <v>223</v>
      </c>
    </row>
    <row r="141" spans="1:17" ht="39.6" x14ac:dyDescent="0.3">
      <c r="A141" s="10" t="s">
        <v>187</v>
      </c>
      <c r="B141" s="10" t="s">
        <v>157</v>
      </c>
      <c r="C141" s="10" t="s">
        <v>188</v>
      </c>
      <c r="D141" s="11">
        <v>200</v>
      </c>
      <c r="E141" s="10" t="s">
        <v>7</v>
      </c>
      <c r="F141" s="12"/>
      <c r="G141" s="12"/>
      <c r="H141" s="12">
        <v>6</v>
      </c>
      <c r="I141" s="12">
        <f t="shared" si="16"/>
        <v>6</v>
      </c>
      <c r="J141" s="13">
        <f t="shared" si="17"/>
        <v>30</v>
      </c>
      <c r="K141" s="14" t="str">
        <f t="shared" si="18"/>
        <v/>
      </c>
      <c r="L141" s="15" t="str">
        <f t="shared" si="19"/>
        <v/>
      </c>
      <c r="M141" s="10"/>
      <c r="N141" s="10"/>
      <c r="O141" s="10"/>
      <c r="P141" s="10" t="s">
        <v>178</v>
      </c>
      <c r="Q141" s="10" t="s">
        <v>224</v>
      </c>
    </row>
    <row r="142" spans="1:17" ht="52.8" x14ac:dyDescent="0.3">
      <c r="A142" s="10" t="s">
        <v>187</v>
      </c>
      <c r="B142" s="10" t="s">
        <v>158</v>
      </c>
      <c r="C142" s="10" t="s">
        <v>188</v>
      </c>
      <c r="D142" s="11">
        <v>200</v>
      </c>
      <c r="E142" s="10" t="s">
        <v>7</v>
      </c>
      <c r="F142" s="12"/>
      <c r="G142" s="12">
        <v>1.35</v>
      </c>
      <c r="H142" s="12">
        <v>1.8</v>
      </c>
      <c r="I142" s="12">
        <f t="shared" si="16"/>
        <v>1.35</v>
      </c>
      <c r="J142" s="13">
        <f t="shared" si="17"/>
        <v>6.75</v>
      </c>
      <c r="K142" s="14" t="str">
        <f t="shared" si="18"/>
        <v/>
      </c>
      <c r="L142" s="15" t="str">
        <f t="shared" si="19"/>
        <v/>
      </c>
      <c r="M142" s="10"/>
      <c r="N142" s="10"/>
      <c r="O142" s="10" t="s">
        <v>203</v>
      </c>
      <c r="P142" s="10" t="s">
        <v>193</v>
      </c>
      <c r="Q142" s="10" t="s">
        <v>225</v>
      </c>
    </row>
  </sheetData>
  <autoFilter ref="A3:Q3" xr:uid="{00000000-0009-0000-0000-000001000000}"/>
  <mergeCells count="2">
    <mergeCell ref="C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2"/>
  <sheetViews>
    <sheetView workbookViewId="0"/>
  </sheetViews>
  <sheetFormatPr defaultRowHeight="14.4" x14ac:dyDescent="0.3"/>
  <sheetData>
    <row r="1" spans="1:16" x14ac:dyDescent="0.3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  <c r="K1" t="s">
        <v>236</v>
      </c>
      <c r="L1" t="s">
        <v>237</v>
      </c>
      <c r="M1" t="s">
        <v>238</v>
      </c>
      <c r="N1" t="s">
        <v>239</v>
      </c>
      <c r="O1" t="s">
        <v>240</v>
      </c>
      <c r="P1" t="s">
        <v>241</v>
      </c>
    </row>
    <row r="2" spans="1:16" x14ac:dyDescent="0.3">
      <c r="A2">
        <v>100</v>
      </c>
      <c r="B2" t="s">
        <v>242</v>
      </c>
      <c r="C2" t="s">
        <v>243</v>
      </c>
      <c r="D2" t="s">
        <v>244</v>
      </c>
      <c r="F2" t="s">
        <v>245</v>
      </c>
      <c r="G2" t="s">
        <v>246</v>
      </c>
      <c r="H2" t="s">
        <v>247</v>
      </c>
      <c r="L2">
        <v>1</v>
      </c>
    </row>
    <row r="3" spans="1:16" x14ac:dyDescent="0.3">
      <c r="A3">
        <v>143</v>
      </c>
      <c r="B3" t="s">
        <v>248</v>
      </c>
      <c r="C3" t="s">
        <v>249</v>
      </c>
      <c r="D3" t="s">
        <v>250</v>
      </c>
      <c r="F3" t="s">
        <v>245</v>
      </c>
      <c r="G3" t="s">
        <v>246</v>
      </c>
      <c r="H3" t="s">
        <v>247</v>
      </c>
      <c r="L3">
        <v>1</v>
      </c>
    </row>
    <row r="4" spans="1:16" x14ac:dyDescent="0.3">
      <c r="A4">
        <v>64</v>
      </c>
      <c r="B4" t="s">
        <v>251</v>
      </c>
      <c r="C4" t="s">
        <v>252</v>
      </c>
      <c r="D4" t="s">
        <v>253</v>
      </c>
      <c r="F4" t="s">
        <v>245</v>
      </c>
      <c r="G4" t="s">
        <v>254</v>
      </c>
      <c r="H4" t="s">
        <v>247</v>
      </c>
      <c r="L4">
        <v>1</v>
      </c>
    </row>
    <row r="5" spans="1:16" x14ac:dyDescent="0.3">
      <c r="A5">
        <v>152</v>
      </c>
      <c r="B5" t="s">
        <v>255</v>
      </c>
      <c r="C5" t="s">
        <v>256</v>
      </c>
      <c r="D5" t="s">
        <v>257</v>
      </c>
      <c r="F5" t="s">
        <v>245</v>
      </c>
      <c r="G5" t="s">
        <v>258</v>
      </c>
      <c r="H5" t="s">
        <v>247</v>
      </c>
      <c r="L5">
        <v>1</v>
      </c>
    </row>
    <row r="6" spans="1:16" x14ac:dyDescent="0.3">
      <c r="A6">
        <v>148</v>
      </c>
      <c r="B6" t="s">
        <v>259</v>
      </c>
      <c r="C6" t="s">
        <v>260</v>
      </c>
      <c r="D6" t="s">
        <v>261</v>
      </c>
      <c r="F6" t="s">
        <v>245</v>
      </c>
      <c r="G6" t="s">
        <v>262</v>
      </c>
      <c r="H6" t="s">
        <v>247</v>
      </c>
      <c r="I6" t="s">
        <v>263</v>
      </c>
      <c r="L6">
        <v>1</v>
      </c>
    </row>
    <row r="7" spans="1:16" x14ac:dyDescent="0.3">
      <c r="A7">
        <v>90</v>
      </c>
      <c r="B7" t="s">
        <v>21</v>
      </c>
      <c r="C7" t="s">
        <v>264</v>
      </c>
      <c r="D7" t="s">
        <v>265</v>
      </c>
      <c r="F7" t="s">
        <v>245</v>
      </c>
      <c r="G7" t="s">
        <v>266</v>
      </c>
      <c r="H7" t="s">
        <v>247</v>
      </c>
      <c r="L7">
        <v>1</v>
      </c>
    </row>
    <row r="8" spans="1:16" x14ac:dyDescent="0.3">
      <c r="A8">
        <v>101</v>
      </c>
      <c r="B8" t="s">
        <v>267</v>
      </c>
      <c r="C8" t="s">
        <v>268</v>
      </c>
      <c r="D8" t="s">
        <v>269</v>
      </c>
      <c r="F8" t="s">
        <v>245</v>
      </c>
      <c r="G8" t="s">
        <v>266</v>
      </c>
      <c r="H8" t="s">
        <v>247</v>
      </c>
      <c r="L8">
        <v>1</v>
      </c>
    </row>
    <row r="9" spans="1:16" x14ac:dyDescent="0.3">
      <c r="A9">
        <v>144</v>
      </c>
      <c r="B9" t="s">
        <v>270</v>
      </c>
      <c r="C9" t="s">
        <v>264</v>
      </c>
      <c r="D9" t="s">
        <v>265</v>
      </c>
      <c r="F9" t="s">
        <v>245</v>
      </c>
      <c r="G9" t="s">
        <v>266</v>
      </c>
      <c r="H9" t="s">
        <v>247</v>
      </c>
      <c r="L9">
        <v>1</v>
      </c>
    </row>
    <row r="10" spans="1:16" x14ac:dyDescent="0.3">
      <c r="A10">
        <v>102</v>
      </c>
      <c r="B10" t="s">
        <v>271</v>
      </c>
      <c r="C10" t="s">
        <v>272</v>
      </c>
      <c r="D10" t="s">
        <v>273</v>
      </c>
      <c r="F10" t="s">
        <v>245</v>
      </c>
      <c r="G10" t="s">
        <v>274</v>
      </c>
      <c r="H10" t="s">
        <v>247</v>
      </c>
      <c r="L10">
        <v>1</v>
      </c>
    </row>
    <row r="11" spans="1:16" x14ac:dyDescent="0.3">
      <c r="A11">
        <v>145</v>
      </c>
      <c r="B11" t="s">
        <v>275</v>
      </c>
      <c r="C11" t="s">
        <v>276</v>
      </c>
      <c r="D11" t="s">
        <v>277</v>
      </c>
      <c r="F11" t="s">
        <v>245</v>
      </c>
      <c r="G11" t="s">
        <v>274</v>
      </c>
      <c r="H11" t="s">
        <v>247</v>
      </c>
      <c r="L11">
        <v>1</v>
      </c>
    </row>
    <row r="12" spans="1:16" x14ac:dyDescent="0.3">
      <c r="A12">
        <v>171</v>
      </c>
      <c r="B12" t="s">
        <v>278</v>
      </c>
      <c r="C12" t="s">
        <v>279</v>
      </c>
      <c r="D12" t="s">
        <v>280</v>
      </c>
      <c r="F12" t="s">
        <v>245</v>
      </c>
      <c r="G12" t="s">
        <v>281</v>
      </c>
      <c r="H12" t="s">
        <v>247</v>
      </c>
      <c r="L12">
        <v>1</v>
      </c>
    </row>
    <row r="13" spans="1:16" x14ac:dyDescent="0.3">
      <c r="A13">
        <v>62</v>
      </c>
      <c r="B13" t="s">
        <v>282</v>
      </c>
      <c r="D13" t="s">
        <v>280</v>
      </c>
      <c r="F13" t="s">
        <v>245</v>
      </c>
      <c r="G13" t="s">
        <v>283</v>
      </c>
      <c r="H13" t="s">
        <v>247</v>
      </c>
      <c r="I13" t="s">
        <v>284</v>
      </c>
      <c r="L13">
        <v>1</v>
      </c>
    </row>
    <row r="14" spans="1:16" x14ac:dyDescent="0.3">
      <c r="A14">
        <v>65</v>
      </c>
      <c r="B14" t="s">
        <v>285</v>
      </c>
      <c r="D14" t="s">
        <v>280</v>
      </c>
      <c r="F14" t="s">
        <v>245</v>
      </c>
      <c r="G14" t="s">
        <v>286</v>
      </c>
      <c r="H14" t="s">
        <v>247</v>
      </c>
      <c r="I14" t="s">
        <v>284</v>
      </c>
      <c r="L14">
        <v>1</v>
      </c>
    </row>
    <row r="15" spans="1:16" x14ac:dyDescent="0.3">
      <c r="A15">
        <v>108</v>
      </c>
      <c r="B15" t="s">
        <v>287</v>
      </c>
      <c r="D15" t="s">
        <v>288</v>
      </c>
      <c r="F15" t="s">
        <v>245</v>
      </c>
      <c r="G15" t="s">
        <v>289</v>
      </c>
      <c r="H15" t="s">
        <v>247</v>
      </c>
      <c r="I15" t="s">
        <v>290</v>
      </c>
      <c r="L15">
        <v>1</v>
      </c>
    </row>
    <row r="16" spans="1:16" x14ac:dyDescent="0.3">
      <c r="A16">
        <v>155</v>
      </c>
      <c r="B16" t="s">
        <v>291</v>
      </c>
      <c r="D16" t="s">
        <v>292</v>
      </c>
      <c r="F16" t="s">
        <v>245</v>
      </c>
      <c r="G16" t="s">
        <v>293</v>
      </c>
      <c r="H16" t="s">
        <v>247</v>
      </c>
      <c r="L16">
        <v>1</v>
      </c>
    </row>
    <row r="17" spans="1:12" x14ac:dyDescent="0.3">
      <c r="A17">
        <v>158</v>
      </c>
      <c r="B17" t="s">
        <v>294</v>
      </c>
      <c r="D17" t="s">
        <v>295</v>
      </c>
      <c r="F17" t="s">
        <v>245</v>
      </c>
      <c r="G17" t="s">
        <v>296</v>
      </c>
      <c r="H17" t="s">
        <v>247</v>
      </c>
      <c r="L17">
        <v>1</v>
      </c>
    </row>
    <row r="18" spans="1:12" x14ac:dyDescent="0.3">
      <c r="A18">
        <v>59</v>
      </c>
      <c r="B18" t="s">
        <v>45</v>
      </c>
      <c r="D18" t="s">
        <v>295</v>
      </c>
      <c r="F18" t="s">
        <v>245</v>
      </c>
      <c r="G18" t="s">
        <v>297</v>
      </c>
      <c r="H18" t="s">
        <v>247</v>
      </c>
      <c r="L18">
        <v>1</v>
      </c>
    </row>
    <row r="19" spans="1:12" x14ac:dyDescent="0.3">
      <c r="A19">
        <v>58</v>
      </c>
      <c r="B19" t="s">
        <v>48</v>
      </c>
      <c r="D19" t="s">
        <v>292</v>
      </c>
      <c r="F19" t="s">
        <v>245</v>
      </c>
      <c r="G19" t="s">
        <v>297</v>
      </c>
      <c r="H19" t="s">
        <v>247</v>
      </c>
      <c r="L19">
        <v>1</v>
      </c>
    </row>
    <row r="20" spans="1:12" x14ac:dyDescent="0.3">
      <c r="A20">
        <v>95</v>
      </c>
      <c r="B20" t="s">
        <v>298</v>
      </c>
      <c r="D20" t="s">
        <v>299</v>
      </c>
      <c r="F20" t="s">
        <v>245</v>
      </c>
      <c r="G20" t="s">
        <v>300</v>
      </c>
      <c r="H20" t="s">
        <v>247</v>
      </c>
      <c r="I20" t="s">
        <v>301</v>
      </c>
      <c r="L20">
        <v>1</v>
      </c>
    </row>
    <row r="21" spans="1:12" x14ac:dyDescent="0.3">
      <c r="A21">
        <v>162</v>
      </c>
      <c r="B21" t="s">
        <v>302</v>
      </c>
      <c r="D21" t="s">
        <v>303</v>
      </c>
      <c r="F21" t="s">
        <v>245</v>
      </c>
      <c r="G21" t="s">
        <v>304</v>
      </c>
      <c r="H21" t="s">
        <v>247</v>
      </c>
      <c r="L21">
        <v>1</v>
      </c>
    </row>
    <row r="22" spans="1:12" x14ac:dyDescent="0.3">
      <c r="A22">
        <v>69</v>
      </c>
      <c r="B22" t="s">
        <v>305</v>
      </c>
      <c r="D22" t="s">
        <v>295</v>
      </c>
      <c r="F22" t="s">
        <v>245</v>
      </c>
      <c r="G22" t="s">
        <v>306</v>
      </c>
      <c r="H22" t="s">
        <v>247</v>
      </c>
      <c r="I22" t="s">
        <v>307</v>
      </c>
      <c r="L22">
        <v>1</v>
      </c>
    </row>
    <row r="23" spans="1:12" x14ac:dyDescent="0.3">
      <c r="A23">
        <v>146</v>
      </c>
      <c r="B23" t="s">
        <v>308</v>
      </c>
      <c r="C23" t="s">
        <v>309</v>
      </c>
      <c r="D23" t="s">
        <v>310</v>
      </c>
      <c r="F23" t="s">
        <v>245</v>
      </c>
      <c r="G23" t="s">
        <v>311</v>
      </c>
      <c r="H23" t="s">
        <v>247</v>
      </c>
      <c r="I23" t="s">
        <v>312</v>
      </c>
      <c r="L23">
        <v>1</v>
      </c>
    </row>
    <row r="24" spans="1:12" x14ac:dyDescent="0.3">
      <c r="A24">
        <v>1</v>
      </c>
      <c r="B24" t="s">
        <v>313</v>
      </c>
      <c r="C24" t="s">
        <v>314</v>
      </c>
      <c r="D24" t="s">
        <v>315</v>
      </c>
      <c r="E24">
        <v>16</v>
      </c>
      <c r="F24" t="s">
        <v>245</v>
      </c>
      <c r="G24" t="s">
        <v>316</v>
      </c>
      <c r="H24" t="s">
        <v>317</v>
      </c>
      <c r="J24" t="s">
        <v>318</v>
      </c>
      <c r="K24" t="s">
        <v>313</v>
      </c>
      <c r="L24">
        <v>1</v>
      </c>
    </row>
    <row r="25" spans="1:12" x14ac:dyDescent="0.3">
      <c r="A25">
        <v>3</v>
      </c>
      <c r="B25" t="s">
        <v>319</v>
      </c>
      <c r="C25" t="s">
        <v>320</v>
      </c>
      <c r="D25" t="s">
        <v>321</v>
      </c>
      <c r="E25">
        <v>18</v>
      </c>
      <c r="F25" t="s">
        <v>245</v>
      </c>
      <c r="G25" t="s">
        <v>316</v>
      </c>
      <c r="H25" t="s">
        <v>317</v>
      </c>
      <c r="J25" t="s">
        <v>318</v>
      </c>
      <c r="K25" t="s">
        <v>319</v>
      </c>
      <c r="L25">
        <v>1</v>
      </c>
    </row>
    <row r="26" spans="1:12" x14ac:dyDescent="0.3">
      <c r="A26">
        <v>4</v>
      </c>
      <c r="B26" t="s">
        <v>322</v>
      </c>
      <c r="C26" t="s">
        <v>323</v>
      </c>
      <c r="D26" t="s">
        <v>324</v>
      </c>
      <c r="E26">
        <v>23</v>
      </c>
      <c r="F26" t="s">
        <v>245</v>
      </c>
      <c r="G26" t="s">
        <v>316</v>
      </c>
      <c r="H26" t="s">
        <v>317</v>
      </c>
      <c r="J26" t="s">
        <v>318</v>
      </c>
      <c r="K26" t="s">
        <v>322</v>
      </c>
      <c r="L26">
        <v>1</v>
      </c>
    </row>
    <row r="27" spans="1:12" x14ac:dyDescent="0.3">
      <c r="A27">
        <v>2</v>
      </c>
      <c r="B27" t="s">
        <v>325</v>
      </c>
      <c r="C27" t="s">
        <v>326</v>
      </c>
      <c r="D27" t="s">
        <v>327</v>
      </c>
      <c r="E27">
        <v>18</v>
      </c>
      <c r="F27" t="s">
        <v>245</v>
      </c>
      <c r="G27" t="s">
        <v>316</v>
      </c>
      <c r="H27" t="s">
        <v>317</v>
      </c>
      <c r="J27" t="s">
        <v>318</v>
      </c>
      <c r="K27" t="s">
        <v>325</v>
      </c>
      <c r="L27">
        <v>1</v>
      </c>
    </row>
    <row r="28" spans="1:12" x14ac:dyDescent="0.3">
      <c r="A28">
        <v>6</v>
      </c>
      <c r="B28" t="s">
        <v>328</v>
      </c>
      <c r="C28" t="s">
        <v>329</v>
      </c>
      <c r="D28" t="s">
        <v>330</v>
      </c>
      <c r="E28">
        <v>13</v>
      </c>
      <c r="F28" t="s">
        <v>245</v>
      </c>
      <c r="G28" t="s">
        <v>316</v>
      </c>
      <c r="H28" t="s">
        <v>317</v>
      </c>
      <c r="J28" t="s">
        <v>318</v>
      </c>
      <c r="K28" t="s">
        <v>328</v>
      </c>
      <c r="L28">
        <v>1</v>
      </c>
    </row>
    <row r="29" spans="1:12" x14ac:dyDescent="0.3">
      <c r="A29">
        <v>7</v>
      </c>
      <c r="B29" t="s">
        <v>38</v>
      </c>
      <c r="C29" t="s">
        <v>331</v>
      </c>
      <c r="D29" t="s">
        <v>332</v>
      </c>
      <c r="E29">
        <v>25</v>
      </c>
      <c r="F29" t="s">
        <v>245</v>
      </c>
      <c r="G29" t="s">
        <v>316</v>
      </c>
      <c r="H29" t="s">
        <v>317</v>
      </c>
      <c r="J29" t="s">
        <v>318</v>
      </c>
      <c r="K29" t="s">
        <v>38</v>
      </c>
      <c r="L29">
        <v>1</v>
      </c>
    </row>
    <row r="30" spans="1:12" x14ac:dyDescent="0.3">
      <c r="A30">
        <v>8</v>
      </c>
      <c r="B30" t="s">
        <v>35</v>
      </c>
      <c r="C30" t="s">
        <v>333</v>
      </c>
      <c r="D30" t="s">
        <v>334</v>
      </c>
      <c r="E30">
        <v>38</v>
      </c>
      <c r="F30" t="s">
        <v>245</v>
      </c>
      <c r="G30" t="s">
        <v>316</v>
      </c>
      <c r="H30" t="s">
        <v>317</v>
      </c>
      <c r="J30" t="s">
        <v>318</v>
      </c>
      <c r="K30" t="s">
        <v>35</v>
      </c>
      <c r="L30">
        <v>1</v>
      </c>
    </row>
    <row r="31" spans="1:12" x14ac:dyDescent="0.3">
      <c r="A31">
        <v>9</v>
      </c>
      <c r="B31" t="s">
        <v>37</v>
      </c>
      <c r="C31" t="s">
        <v>335</v>
      </c>
      <c r="D31" t="s">
        <v>336</v>
      </c>
      <c r="E31">
        <v>28</v>
      </c>
      <c r="F31" t="s">
        <v>245</v>
      </c>
      <c r="G31" t="s">
        <v>316</v>
      </c>
      <c r="H31" t="s">
        <v>317</v>
      </c>
      <c r="J31" t="s">
        <v>318</v>
      </c>
      <c r="K31" t="s">
        <v>37</v>
      </c>
      <c r="L31">
        <v>1</v>
      </c>
    </row>
    <row r="32" spans="1:12" x14ac:dyDescent="0.3">
      <c r="A32">
        <v>16</v>
      </c>
      <c r="B32" t="s">
        <v>337</v>
      </c>
      <c r="D32" t="s">
        <v>338</v>
      </c>
      <c r="E32">
        <v>8</v>
      </c>
      <c r="F32" t="s">
        <v>245</v>
      </c>
      <c r="G32" t="s">
        <v>316</v>
      </c>
      <c r="H32" t="s">
        <v>317</v>
      </c>
      <c r="L32">
        <v>1</v>
      </c>
    </row>
    <row r="33" spans="1:12" x14ac:dyDescent="0.3">
      <c r="A33">
        <v>29</v>
      </c>
      <c r="B33" t="s">
        <v>64</v>
      </c>
      <c r="C33" t="s">
        <v>339</v>
      </c>
      <c r="D33" t="s">
        <v>334</v>
      </c>
      <c r="E33">
        <v>66</v>
      </c>
      <c r="F33" t="s">
        <v>245</v>
      </c>
      <c r="G33" t="s">
        <v>316</v>
      </c>
      <c r="H33" t="s">
        <v>247</v>
      </c>
      <c r="L33">
        <v>1</v>
      </c>
    </row>
    <row r="34" spans="1:12" x14ac:dyDescent="0.3">
      <c r="A34">
        <v>32</v>
      </c>
      <c r="B34" t="s">
        <v>33</v>
      </c>
      <c r="C34" t="s">
        <v>340</v>
      </c>
      <c r="D34" t="s">
        <v>334</v>
      </c>
      <c r="E34">
        <v>42</v>
      </c>
      <c r="F34" t="s">
        <v>245</v>
      </c>
      <c r="G34" t="s">
        <v>316</v>
      </c>
      <c r="H34" t="s">
        <v>247</v>
      </c>
      <c r="L34">
        <v>1</v>
      </c>
    </row>
    <row r="35" spans="1:12" x14ac:dyDescent="0.3">
      <c r="A35">
        <v>33</v>
      </c>
      <c r="B35" t="s">
        <v>19</v>
      </c>
      <c r="C35" t="s">
        <v>341</v>
      </c>
      <c r="D35" t="s">
        <v>324</v>
      </c>
      <c r="E35">
        <v>20</v>
      </c>
      <c r="F35" t="s">
        <v>245</v>
      </c>
      <c r="G35" t="s">
        <v>316</v>
      </c>
      <c r="H35" t="s">
        <v>247</v>
      </c>
      <c r="I35" t="s">
        <v>342</v>
      </c>
      <c r="L35">
        <v>1</v>
      </c>
    </row>
    <row r="36" spans="1:12" x14ac:dyDescent="0.3">
      <c r="A36">
        <v>42</v>
      </c>
      <c r="B36" t="s">
        <v>18</v>
      </c>
      <c r="C36" t="s">
        <v>343</v>
      </c>
      <c r="D36" t="s">
        <v>344</v>
      </c>
      <c r="E36">
        <v>23</v>
      </c>
      <c r="F36" t="s">
        <v>245</v>
      </c>
      <c r="G36" t="s">
        <v>316</v>
      </c>
      <c r="H36" t="s">
        <v>247</v>
      </c>
      <c r="I36" t="s">
        <v>345</v>
      </c>
      <c r="L36">
        <v>1</v>
      </c>
    </row>
    <row r="37" spans="1:12" x14ac:dyDescent="0.3">
      <c r="A37">
        <v>41</v>
      </c>
      <c r="B37" t="s">
        <v>22</v>
      </c>
      <c r="C37" t="s">
        <v>346</v>
      </c>
      <c r="D37" t="s">
        <v>344</v>
      </c>
      <c r="E37">
        <v>15</v>
      </c>
      <c r="F37" t="s">
        <v>245</v>
      </c>
      <c r="G37" t="s">
        <v>316</v>
      </c>
      <c r="H37" t="s">
        <v>247</v>
      </c>
      <c r="I37" t="s">
        <v>345</v>
      </c>
      <c r="L37">
        <v>1</v>
      </c>
    </row>
    <row r="38" spans="1:12" x14ac:dyDescent="0.3">
      <c r="A38">
        <v>36</v>
      </c>
      <c r="B38" t="s">
        <v>46</v>
      </c>
      <c r="C38" t="s">
        <v>347</v>
      </c>
      <c r="D38" t="s">
        <v>321</v>
      </c>
      <c r="E38">
        <v>34</v>
      </c>
      <c r="F38" t="s">
        <v>245</v>
      </c>
      <c r="G38" t="s">
        <v>316</v>
      </c>
      <c r="H38" t="s">
        <v>247</v>
      </c>
      <c r="I38" t="s">
        <v>348</v>
      </c>
      <c r="L38">
        <v>1</v>
      </c>
    </row>
    <row r="39" spans="1:12" x14ac:dyDescent="0.3">
      <c r="A39">
        <v>35</v>
      </c>
      <c r="B39" t="s">
        <v>12</v>
      </c>
      <c r="C39" t="s">
        <v>349</v>
      </c>
      <c r="D39" t="s">
        <v>327</v>
      </c>
      <c r="E39">
        <v>24</v>
      </c>
      <c r="F39" t="s">
        <v>245</v>
      </c>
      <c r="G39" t="s">
        <v>316</v>
      </c>
      <c r="H39" t="s">
        <v>247</v>
      </c>
      <c r="I39" t="s">
        <v>350</v>
      </c>
      <c r="L39">
        <v>1</v>
      </c>
    </row>
    <row r="40" spans="1:12" x14ac:dyDescent="0.3">
      <c r="A40">
        <v>37</v>
      </c>
      <c r="B40" t="s">
        <v>14</v>
      </c>
      <c r="C40" t="s">
        <v>351</v>
      </c>
      <c r="D40" t="s">
        <v>330</v>
      </c>
      <c r="E40">
        <v>10</v>
      </c>
      <c r="F40" t="s">
        <v>245</v>
      </c>
      <c r="G40" t="s">
        <v>316</v>
      </c>
      <c r="H40" t="s">
        <v>247</v>
      </c>
      <c r="I40" t="s">
        <v>352</v>
      </c>
      <c r="L40">
        <v>1</v>
      </c>
    </row>
    <row r="41" spans="1:12" x14ac:dyDescent="0.3">
      <c r="A41">
        <v>38</v>
      </c>
      <c r="B41" t="s">
        <v>47</v>
      </c>
      <c r="C41" t="s">
        <v>353</v>
      </c>
      <c r="D41" t="s">
        <v>332</v>
      </c>
      <c r="E41">
        <v>25</v>
      </c>
      <c r="F41" t="s">
        <v>245</v>
      </c>
      <c r="G41" t="s">
        <v>316</v>
      </c>
      <c r="H41" t="s">
        <v>247</v>
      </c>
      <c r="I41" t="s">
        <v>354</v>
      </c>
      <c r="L41">
        <v>1</v>
      </c>
    </row>
    <row r="42" spans="1:12" x14ac:dyDescent="0.3">
      <c r="A42">
        <v>39</v>
      </c>
      <c r="B42" t="s">
        <v>10</v>
      </c>
      <c r="C42" t="s">
        <v>355</v>
      </c>
      <c r="D42" t="s">
        <v>334</v>
      </c>
      <c r="E42">
        <v>50</v>
      </c>
      <c r="F42" t="s">
        <v>245</v>
      </c>
      <c r="G42" t="s">
        <v>316</v>
      </c>
      <c r="H42" t="s">
        <v>247</v>
      </c>
      <c r="I42" t="s">
        <v>356</v>
      </c>
      <c r="L42">
        <v>1</v>
      </c>
    </row>
    <row r="43" spans="1:12" x14ac:dyDescent="0.3">
      <c r="A43">
        <v>40</v>
      </c>
      <c r="B43" t="s">
        <v>17</v>
      </c>
      <c r="C43" t="s">
        <v>357</v>
      </c>
      <c r="D43" t="s">
        <v>336</v>
      </c>
      <c r="E43">
        <v>24</v>
      </c>
      <c r="F43" t="s">
        <v>245</v>
      </c>
      <c r="G43" t="s">
        <v>316</v>
      </c>
      <c r="H43" t="s">
        <v>247</v>
      </c>
      <c r="I43" t="s">
        <v>352</v>
      </c>
      <c r="L43">
        <v>1</v>
      </c>
    </row>
    <row r="44" spans="1:12" x14ac:dyDescent="0.3">
      <c r="A44">
        <v>51</v>
      </c>
      <c r="B44" t="s">
        <v>41</v>
      </c>
      <c r="C44" t="s">
        <v>358</v>
      </c>
      <c r="D44" t="s">
        <v>321</v>
      </c>
      <c r="E44">
        <v>23</v>
      </c>
      <c r="F44" t="s">
        <v>245</v>
      </c>
      <c r="G44" t="s">
        <v>316</v>
      </c>
      <c r="H44" t="s">
        <v>317</v>
      </c>
      <c r="L44">
        <v>1</v>
      </c>
    </row>
    <row r="45" spans="1:12" x14ac:dyDescent="0.3">
      <c r="A45">
        <v>53</v>
      </c>
      <c r="B45" t="s">
        <v>43</v>
      </c>
      <c r="C45" t="s">
        <v>359</v>
      </c>
      <c r="D45" t="s">
        <v>344</v>
      </c>
      <c r="E45">
        <v>18</v>
      </c>
      <c r="F45" t="s">
        <v>245</v>
      </c>
      <c r="G45" t="s">
        <v>316</v>
      </c>
      <c r="H45" t="s">
        <v>317</v>
      </c>
      <c r="L45">
        <v>1</v>
      </c>
    </row>
    <row r="46" spans="1:12" x14ac:dyDescent="0.3">
      <c r="A46">
        <v>52</v>
      </c>
      <c r="B46" t="s">
        <v>36</v>
      </c>
      <c r="C46" t="s">
        <v>360</v>
      </c>
      <c r="D46" t="s">
        <v>324</v>
      </c>
      <c r="E46">
        <v>35</v>
      </c>
      <c r="F46" t="s">
        <v>245</v>
      </c>
      <c r="G46" t="s">
        <v>316</v>
      </c>
      <c r="H46" t="s">
        <v>317</v>
      </c>
      <c r="L46">
        <v>1</v>
      </c>
    </row>
    <row r="47" spans="1:12" x14ac:dyDescent="0.3">
      <c r="A47">
        <v>50</v>
      </c>
      <c r="B47" t="s">
        <v>40</v>
      </c>
      <c r="C47" t="s">
        <v>361</v>
      </c>
      <c r="D47" t="s">
        <v>327</v>
      </c>
      <c r="E47">
        <v>24</v>
      </c>
      <c r="F47" t="s">
        <v>245</v>
      </c>
      <c r="G47" t="s">
        <v>316</v>
      </c>
      <c r="H47" t="s">
        <v>317</v>
      </c>
      <c r="L47">
        <v>1</v>
      </c>
    </row>
    <row r="48" spans="1:12" x14ac:dyDescent="0.3">
      <c r="A48">
        <v>54</v>
      </c>
      <c r="B48" t="s">
        <v>44</v>
      </c>
      <c r="C48" t="s">
        <v>362</v>
      </c>
      <c r="D48" t="s">
        <v>330</v>
      </c>
      <c r="E48">
        <v>16</v>
      </c>
      <c r="F48" t="s">
        <v>245</v>
      </c>
      <c r="G48" t="s">
        <v>316</v>
      </c>
      <c r="H48" t="s">
        <v>317</v>
      </c>
      <c r="L48">
        <v>1</v>
      </c>
    </row>
    <row r="49" spans="1:12" x14ac:dyDescent="0.3">
      <c r="A49">
        <v>55</v>
      </c>
      <c r="B49" t="s">
        <v>42</v>
      </c>
      <c r="C49" t="s">
        <v>363</v>
      </c>
      <c r="D49" t="s">
        <v>332</v>
      </c>
      <c r="E49">
        <v>22</v>
      </c>
      <c r="F49" t="s">
        <v>245</v>
      </c>
      <c r="G49" t="s">
        <v>316</v>
      </c>
      <c r="H49" t="s">
        <v>317</v>
      </c>
      <c r="L49">
        <v>1</v>
      </c>
    </row>
    <row r="50" spans="1:12" x14ac:dyDescent="0.3">
      <c r="A50">
        <v>56</v>
      </c>
      <c r="B50" t="s">
        <v>34</v>
      </c>
      <c r="C50" t="s">
        <v>364</v>
      </c>
      <c r="D50" t="s">
        <v>334</v>
      </c>
      <c r="E50">
        <v>40</v>
      </c>
      <c r="F50" t="s">
        <v>245</v>
      </c>
      <c r="G50" t="s">
        <v>316</v>
      </c>
      <c r="H50" t="s">
        <v>317</v>
      </c>
      <c r="L50">
        <v>1</v>
      </c>
    </row>
    <row r="51" spans="1:12" x14ac:dyDescent="0.3">
      <c r="A51">
        <v>57</v>
      </c>
      <c r="B51" t="s">
        <v>39</v>
      </c>
      <c r="C51" t="s">
        <v>365</v>
      </c>
      <c r="D51" t="s">
        <v>336</v>
      </c>
      <c r="E51">
        <v>25</v>
      </c>
      <c r="F51" t="s">
        <v>245</v>
      </c>
      <c r="G51" t="s">
        <v>316</v>
      </c>
      <c r="H51" t="s">
        <v>317</v>
      </c>
      <c r="L51">
        <v>1</v>
      </c>
    </row>
    <row r="52" spans="1:12" x14ac:dyDescent="0.3">
      <c r="A52">
        <v>63</v>
      </c>
      <c r="B52" t="s">
        <v>366</v>
      </c>
      <c r="D52" t="s">
        <v>280</v>
      </c>
      <c r="F52" t="s">
        <v>245</v>
      </c>
      <c r="G52" t="s">
        <v>316</v>
      </c>
      <c r="H52" t="s">
        <v>247</v>
      </c>
      <c r="I52" t="s">
        <v>284</v>
      </c>
      <c r="L52">
        <v>1</v>
      </c>
    </row>
    <row r="53" spans="1:12" x14ac:dyDescent="0.3">
      <c r="A53">
        <v>66</v>
      </c>
      <c r="B53" t="s">
        <v>367</v>
      </c>
      <c r="D53" t="s">
        <v>280</v>
      </c>
      <c r="F53" t="s">
        <v>245</v>
      </c>
      <c r="G53" t="s">
        <v>316</v>
      </c>
      <c r="H53" t="s">
        <v>247</v>
      </c>
      <c r="I53" t="s">
        <v>284</v>
      </c>
      <c r="L53">
        <v>1</v>
      </c>
    </row>
    <row r="54" spans="1:12" x14ac:dyDescent="0.3">
      <c r="A54">
        <v>67</v>
      </c>
      <c r="B54" t="s">
        <v>368</v>
      </c>
      <c r="C54" t="s">
        <v>369</v>
      </c>
      <c r="D54" t="s">
        <v>370</v>
      </c>
      <c r="F54" t="s">
        <v>245</v>
      </c>
      <c r="G54" t="s">
        <v>316</v>
      </c>
      <c r="H54" t="s">
        <v>247</v>
      </c>
      <c r="L54">
        <v>1</v>
      </c>
    </row>
    <row r="55" spans="1:12" x14ac:dyDescent="0.3">
      <c r="A55">
        <v>72</v>
      </c>
      <c r="B55" t="s">
        <v>371</v>
      </c>
      <c r="C55" t="s">
        <v>372</v>
      </c>
      <c r="D55" t="s">
        <v>370</v>
      </c>
      <c r="F55" t="s">
        <v>245</v>
      </c>
      <c r="G55" t="s">
        <v>316</v>
      </c>
      <c r="H55" t="s">
        <v>247</v>
      </c>
      <c r="L55">
        <v>1</v>
      </c>
    </row>
    <row r="56" spans="1:12" x14ac:dyDescent="0.3">
      <c r="A56">
        <v>74</v>
      </c>
      <c r="B56" t="s">
        <v>23</v>
      </c>
      <c r="D56" t="s">
        <v>315</v>
      </c>
      <c r="E56">
        <v>10</v>
      </c>
      <c r="F56" t="s">
        <v>245</v>
      </c>
      <c r="G56" t="s">
        <v>316</v>
      </c>
      <c r="H56" t="s">
        <v>317</v>
      </c>
      <c r="I56" t="s">
        <v>373</v>
      </c>
      <c r="L56">
        <v>1</v>
      </c>
    </row>
    <row r="57" spans="1:12" x14ac:dyDescent="0.3">
      <c r="A57">
        <v>76</v>
      </c>
      <c r="B57" t="s">
        <v>27</v>
      </c>
      <c r="D57" t="s">
        <v>321</v>
      </c>
      <c r="E57">
        <v>7</v>
      </c>
      <c r="F57" t="s">
        <v>245</v>
      </c>
      <c r="G57" t="s">
        <v>316</v>
      </c>
      <c r="H57" t="s">
        <v>317</v>
      </c>
      <c r="I57" t="s">
        <v>374</v>
      </c>
      <c r="L57">
        <v>1</v>
      </c>
    </row>
    <row r="58" spans="1:12" x14ac:dyDescent="0.3">
      <c r="A58">
        <v>77</v>
      </c>
      <c r="B58" t="s">
        <v>31</v>
      </c>
      <c r="D58" t="s">
        <v>324</v>
      </c>
      <c r="E58">
        <v>3</v>
      </c>
      <c r="F58" t="s">
        <v>245</v>
      </c>
      <c r="G58" t="s">
        <v>316</v>
      </c>
      <c r="H58" t="s">
        <v>317</v>
      </c>
      <c r="I58" t="s">
        <v>375</v>
      </c>
      <c r="L58">
        <v>1</v>
      </c>
    </row>
    <row r="59" spans="1:12" x14ac:dyDescent="0.3">
      <c r="A59">
        <v>75</v>
      </c>
      <c r="B59" t="s">
        <v>28</v>
      </c>
      <c r="D59" t="s">
        <v>327</v>
      </c>
      <c r="E59">
        <v>5</v>
      </c>
      <c r="F59" t="s">
        <v>245</v>
      </c>
      <c r="G59" t="s">
        <v>316</v>
      </c>
      <c r="H59" t="s">
        <v>317</v>
      </c>
      <c r="I59" t="s">
        <v>376</v>
      </c>
      <c r="L59">
        <v>1</v>
      </c>
    </row>
    <row r="60" spans="1:12" x14ac:dyDescent="0.3">
      <c r="A60">
        <v>78</v>
      </c>
      <c r="B60" t="s">
        <v>29</v>
      </c>
      <c r="D60" t="s">
        <v>344</v>
      </c>
      <c r="E60">
        <v>4</v>
      </c>
      <c r="F60" t="s">
        <v>245</v>
      </c>
      <c r="G60" t="s">
        <v>316</v>
      </c>
      <c r="H60" t="s">
        <v>317</v>
      </c>
      <c r="I60" t="s">
        <v>377</v>
      </c>
      <c r="L60">
        <v>1</v>
      </c>
    </row>
    <row r="61" spans="1:12" x14ac:dyDescent="0.3">
      <c r="A61">
        <v>79</v>
      </c>
      <c r="B61" t="s">
        <v>32</v>
      </c>
      <c r="D61" t="s">
        <v>330</v>
      </c>
      <c r="E61">
        <v>3</v>
      </c>
      <c r="F61" t="s">
        <v>245</v>
      </c>
      <c r="G61" t="s">
        <v>316</v>
      </c>
      <c r="H61" t="s">
        <v>317</v>
      </c>
      <c r="I61" t="s">
        <v>376</v>
      </c>
      <c r="L61">
        <v>1</v>
      </c>
    </row>
    <row r="62" spans="1:12" x14ac:dyDescent="0.3">
      <c r="A62">
        <v>80</v>
      </c>
      <c r="B62" t="s">
        <v>25</v>
      </c>
      <c r="C62" t="s">
        <v>378</v>
      </c>
      <c r="D62" t="s">
        <v>332</v>
      </c>
      <c r="E62">
        <v>8</v>
      </c>
      <c r="F62" t="s">
        <v>245</v>
      </c>
      <c r="G62" t="s">
        <v>316</v>
      </c>
      <c r="H62" t="s">
        <v>317</v>
      </c>
      <c r="I62" t="s">
        <v>376</v>
      </c>
      <c r="L62">
        <v>1</v>
      </c>
    </row>
    <row r="63" spans="1:12" x14ac:dyDescent="0.3">
      <c r="A63">
        <v>81</v>
      </c>
      <c r="B63" t="s">
        <v>30</v>
      </c>
      <c r="D63" t="s">
        <v>379</v>
      </c>
      <c r="E63">
        <v>4</v>
      </c>
      <c r="F63" t="s">
        <v>245</v>
      </c>
      <c r="G63" t="s">
        <v>316</v>
      </c>
      <c r="H63" t="s">
        <v>317</v>
      </c>
      <c r="I63" t="s">
        <v>377</v>
      </c>
      <c r="L63">
        <v>1</v>
      </c>
    </row>
    <row r="64" spans="1:12" x14ac:dyDescent="0.3">
      <c r="A64">
        <v>82</v>
      </c>
      <c r="B64" t="s">
        <v>20</v>
      </c>
      <c r="D64" t="s">
        <v>334</v>
      </c>
      <c r="E64">
        <v>20</v>
      </c>
      <c r="F64" t="s">
        <v>245</v>
      </c>
      <c r="G64" t="s">
        <v>316</v>
      </c>
      <c r="H64" t="s">
        <v>317</v>
      </c>
      <c r="I64" t="s">
        <v>380</v>
      </c>
      <c r="L64">
        <v>1</v>
      </c>
    </row>
    <row r="65" spans="1:12" x14ac:dyDescent="0.3">
      <c r="A65">
        <v>83</v>
      </c>
      <c r="B65" t="s">
        <v>26</v>
      </c>
      <c r="D65" t="s">
        <v>336</v>
      </c>
      <c r="E65">
        <v>8</v>
      </c>
      <c r="F65" t="s">
        <v>245</v>
      </c>
      <c r="G65" t="s">
        <v>316</v>
      </c>
      <c r="H65" t="s">
        <v>317</v>
      </c>
      <c r="I65" t="s">
        <v>381</v>
      </c>
      <c r="L65">
        <v>1</v>
      </c>
    </row>
    <row r="66" spans="1:12" x14ac:dyDescent="0.3">
      <c r="A66">
        <v>88</v>
      </c>
      <c r="B66" t="s">
        <v>74</v>
      </c>
      <c r="C66" t="s">
        <v>382</v>
      </c>
      <c r="D66" t="s">
        <v>334</v>
      </c>
      <c r="E66">
        <v>71</v>
      </c>
      <c r="F66" t="s">
        <v>245</v>
      </c>
      <c r="G66" t="s">
        <v>316</v>
      </c>
      <c r="H66" t="s">
        <v>247</v>
      </c>
      <c r="J66" t="s">
        <v>383</v>
      </c>
      <c r="K66" t="s">
        <v>74</v>
      </c>
      <c r="L66">
        <v>1</v>
      </c>
    </row>
    <row r="67" spans="1:12" x14ac:dyDescent="0.3">
      <c r="A67">
        <v>91</v>
      </c>
      <c r="B67" t="s">
        <v>15</v>
      </c>
      <c r="C67" t="s">
        <v>384</v>
      </c>
      <c r="D67" t="s">
        <v>385</v>
      </c>
      <c r="F67" t="s">
        <v>245</v>
      </c>
      <c r="G67" t="s">
        <v>316</v>
      </c>
      <c r="H67" t="s">
        <v>247</v>
      </c>
      <c r="I67" t="s">
        <v>386</v>
      </c>
      <c r="L67">
        <v>1</v>
      </c>
    </row>
    <row r="68" spans="1:12" x14ac:dyDescent="0.3">
      <c r="A68">
        <v>92</v>
      </c>
      <c r="B68" t="s">
        <v>387</v>
      </c>
      <c r="D68" t="s">
        <v>388</v>
      </c>
      <c r="E68">
        <v>10</v>
      </c>
      <c r="F68" t="s">
        <v>245</v>
      </c>
      <c r="G68" t="s">
        <v>316</v>
      </c>
      <c r="H68" t="s">
        <v>317</v>
      </c>
      <c r="L68">
        <v>1</v>
      </c>
    </row>
    <row r="69" spans="1:12" x14ac:dyDescent="0.3">
      <c r="A69">
        <v>93</v>
      </c>
      <c r="B69" t="s">
        <v>24</v>
      </c>
      <c r="C69" t="s">
        <v>389</v>
      </c>
      <c r="D69" t="s">
        <v>390</v>
      </c>
      <c r="F69" t="s">
        <v>245</v>
      </c>
      <c r="G69" t="s">
        <v>316</v>
      </c>
      <c r="H69" t="s">
        <v>247</v>
      </c>
      <c r="I69" t="s">
        <v>391</v>
      </c>
      <c r="L69">
        <v>1</v>
      </c>
    </row>
    <row r="70" spans="1:12" x14ac:dyDescent="0.3">
      <c r="A70">
        <v>94</v>
      </c>
      <c r="B70" t="s">
        <v>16</v>
      </c>
      <c r="C70" t="s">
        <v>392</v>
      </c>
      <c r="D70" t="s">
        <v>388</v>
      </c>
      <c r="E70">
        <v>39</v>
      </c>
      <c r="F70" t="s">
        <v>245</v>
      </c>
      <c r="G70" t="s">
        <v>316</v>
      </c>
      <c r="H70" t="s">
        <v>247</v>
      </c>
      <c r="L70">
        <v>1</v>
      </c>
    </row>
    <row r="71" spans="1:12" x14ac:dyDescent="0.3">
      <c r="A71">
        <v>106</v>
      </c>
      <c r="B71" t="s">
        <v>393</v>
      </c>
      <c r="D71" t="s">
        <v>394</v>
      </c>
      <c r="F71" t="s">
        <v>245</v>
      </c>
      <c r="G71" t="s">
        <v>316</v>
      </c>
      <c r="H71" t="s">
        <v>247</v>
      </c>
      <c r="I71" t="s">
        <v>290</v>
      </c>
      <c r="L71">
        <v>1</v>
      </c>
    </row>
    <row r="72" spans="1:12" x14ac:dyDescent="0.3">
      <c r="A72">
        <v>107</v>
      </c>
      <c r="B72" t="s">
        <v>395</v>
      </c>
      <c r="C72" t="s">
        <v>396</v>
      </c>
      <c r="D72" t="s">
        <v>397</v>
      </c>
      <c r="F72" t="s">
        <v>245</v>
      </c>
      <c r="G72" t="s">
        <v>316</v>
      </c>
      <c r="H72" t="s">
        <v>247</v>
      </c>
      <c r="I72" t="s">
        <v>290</v>
      </c>
      <c r="L72">
        <v>1</v>
      </c>
    </row>
    <row r="73" spans="1:12" x14ac:dyDescent="0.3">
      <c r="A73">
        <v>99</v>
      </c>
      <c r="B73" t="s">
        <v>398</v>
      </c>
      <c r="C73" t="s">
        <v>399</v>
      </c>
      <c r="D73" t="s">
        <v>400</v>
      </c>
      <c r="F73" t="s">
        <v>245</v>
      </c>
      <c r="G73" t="s">
        <v>316</v>
      </c>
      <c r="H73" t="s">
        <v>247</v>
      </c>
      <c r="L73">
        <v>1</v>
      </c>
    </row>
    <row r="74" spans="1:12" x14ac:dyDescent="0.3">
      <c r="A74">
        <v>103</v>
      </c>
      <c r="B74" t="s">
        <v>401</v>
      </c>
      <c r="D74" t="s">
        <v>402</v>
      </c>
      <c r="F74" t="s">
        <v>245</v>
      </c>
      <c r="G74" t="s">
        <v>316</v>
      </c>
      <c r="H74" t="s">
        <v>247</v>
      </c>
      <c r="I74" t="s">
        <v>290</v>
      </c>
      <c r="L74">
        <v>1</v>
      </c>
    </row>
    <row r="75" spans="1:12" x14ac:dyDescent="0.3">
      <c r="A75">
        <v>104</v>
      </c>
      <c r="B75" t="s">
        <v>403</v>
      </c>
      <c r="D75" t="s">
        <v>315</v>
      </c>
      <c r="E75">
        <v>16</v>
      </c>
      <c r="F75" t="s">
        <v>245</v>
      </c>
      <c r="G75" t="s">
        <v>316</v>
      </c>
      <c r="H75" t="s">
        <v>247</v>
      </c>
      <c r="I75" t="s">
        <v>404</v>
      </c>
      <c r="L75">
        <v>1</v>
      </c>
    </row>
    <row r="76" spans="1:12" x14ac:dyDescent="0.3">
      <c r="A76">
        <v>105</v>
      </c>
      <c r="B76" t="s">
        <v>405</v>
      </c>
      <c r="C76" t="s">
        <v>406</v>
      </c>
      <c r="D76" t="s">
        <v>407</v>
      </c>
      <c r="F76" t="s">
        <v>245</v>
      </c>
      <c r="G76" t="s">
        <v>316</v>
      </c>
      <c r="H76" t="s">
        <v>247</v>
      </c>
      <c r="I76" t="s">
        <v>290</v>
      </c>
      <c r="L76">
        <v>1</v>
      </c>
    </row>
    <row r="77" spans="1:12" x14ac:dyDescent="0.3">
      <c r="A77">
        <v>111</v>
      </c>
      <c r="B77" t="s">
        <v>408</v>
      </c>
      <c r="C77" t="s">
        <v>409</v>
      </c>
      <c r="D77" t="s">
        <v>410</v>
      </c>
      <c r="F77" t="s">
        <v>245</v>
      </c>
      <c r="G77" t="s">
        <v>316</v>
      </c>
      <c r="H77" t="s">
        <v>247</v>
      </c>
      <c r="L77">
        <v>1</v>
      </c>
    </row>
    <row r="78" spans="1:12" x14ac:dyDescent="0.3">
      <c r="A78">
        <v>110</v>
      </c>
      <c r="B78" t="s">
        <v>411</v>
      </c>
      <c r="C78" t="s">
        <v>412</v>
      </c>
      <c r="D78" t="s">
        <v>338</v>
      </c>
      <c r="E78">
        <v>20</v>
      </c>
      <c r="F78" t="s">
        <v>245</v>
      </c>
      <c r="G78" t="s">
        <v>316</v>
      </c>
      <c r="H78" t="s">
        <v>247</v>
      </c>
      <c r="L78">
        <v>1</v>
      </c>
    </row>
    <row r="79" spans="1:12" x14ac:dyDescent="0.3">
      <c r="A79">
        <v>122</v>
      </c>
      <c r="B79" t="s">
        <v>413</v>
      </c>
      <c r="D79" t="s">
        <v>280</v>
      </c>
      <c r="F79" t="s">
        <v>245</v>
      </c>
      <c r="G79" t="s">
        <v>316</v>
      </c>
      <c r="H79" t="s">
        <v>317</v>
      </c>
      <c r="I79" t="s">
        <v>284</v>
      </c>
      <c r="L79">
        <v>1</v>
      </c>
    </row>
    <row r="80" spans="1:12" x14ac:dyDescent="0.3">
      <c r="A80">
        <v>124</v>
      </c>
      <c r="B80" t="s">
        <v>414</v>
      </c>
      <c r="D80" t="s">
        <v>338</v>
      </c>
      <c r="E80">
        <v>8</v>
      </c>
      <c r="F80" t="s">
        <v>245</v>
      </c>
      <c r="G80" t="s">
        <v>316</v>
      </c>
      <c r="H80" t="s">
        <v>317</v>
      </c>
      <c r="I80" t="s">
        <v>415</v>
      </c>
      <c r="L80">
        <v>1</v>
      </c>
    </row>
    <row r="81" spans="1:12" x14ac:dyDescent="0.3">
      <c r="A81">
        <v>125</v>
      </c>
      <c r="B81" t="s">
        <v>416</v>
      </c>
      <c r="D81" t="s">
        <v>321</v>
      </c>
      <c r="E81">
        <v>2</v>
      </c>
      <c r="F81" t="s">
        <v>245</v>
      </c>
      <c r="G81" t="s">
        <v>316</v>
      </c>
      <c r="H81" t="s">
        <v>317</v>
      </c>
      <c r="I81" t="s">
        <v>415</v>
      </c>
      <c r="L81">
        <v>1</v>
      </c>
    </row>
    <row r="82" spans="1:12" x14ac:dyDescent="0.3">
      <c r="A82">
        <v>126</v>
      </c>
      <c r="B82" t="s">
        <v>417</v>
      </c>
      <c r="D82" t="s">
        <v>324</v>
      </c>
      <c r="E82">
        <v>5</v>
      </c>
      <c r="F82" t="s">
        <v>245</v>
      </c>
      <c r="G82" t="s">
        <v>316</v>
      </c>
      <c r="H82" t="s">
        <v>317</v>
      </c>
      <c r="I82" t="s">
        <v>415</v>
      </c>
      <c r="L82">
        <v>1</v>
      </c>
    </row>
    <row r="83" spans="1:12" x14ac:dyDescent="0.3">
      <c r="A83">
        <v>132</v>
      </c>
      <c r="B83" t="s">
        <v>418</v>
      </c>
      <c r="D83" t="s">
        <v>327</v>
      </c>
      <c r="E83">
        <v>2</v>
      </c>
      <c r="F83" t="s">
        <v>245</v>
      </c>
      <c r="G83" t="s">
        <v>316</v>
      </c>
      <c r="H83" t="s">
        <v>317</v>
      </c>
      <c r="I83" t="s">
        <v>415</v>
      </c>
      <c r="L83">
        <v>1</v>
      </c>
    </row>
    <row r="84" spans="1:12" x14ac:dyDescent="0.3">
      <c r="A84">
        <v>127</v>
      </c>
      <c r="B84" t="s">
        <v>419</v>
      </c>
      <c r="D84" t="s">
        <v>344</v>
      </c>
      <c r="E84">
        <v>5</v>
      </c>
      <c r="F84" t="s">
        <v>245</v>
      </c>
      <c r="G84" t="s">
        <v>316</v>
      </c>
      <c r="H84" t="s">
        <v>317</v>
      </c>
      <c r="I84" t="s">
        <v>415</v>
      </c>
      <c r="L84">
        <v>1</v>
      </c>
    </row>
    <row r="85" spans="1:12" x14ac:dyDescent="0.3">
      <c r="A85">
        <v>133</v>
      </c>
      <c r="B85" t="s">
        <v>420</v>
      </c>
      <c r="D85" t="s">
        <v>330</v>
      </c>
      <c r="E85">
        <v>2</v>
      </c>
      <c r="F85" t="s">
        <v>245</v>
      </c>
      <c r="G85" t="s">
        <v>316</v>
      </c>
      <c r="H85" t="s">
        <v>317</v>
      </c>
      <c r="I85" t="s">
        <v>415</v>
      </c>
      <c r="L85">
        <v>1</v>
      </c>
    </row>
    <row r="86" spans="1:12" x14ac:dyDescent="0.3">
      <c r="A86">
        <v>128</v>
      </c>
      <c r="B86" t="s">
        <v>421</v>
      </c>
      <c r="D86" t="s">
        <v>332</v>
      </c>
      <c r="E86">
        <v>5</v>
      </c>
      <c r="F86" t="s">
        <v>245</v>
      </c>
      <c r="G86" t="s">
        <v>316</v>
      </c>
      <c r="H86" t="s">
        <v>317</v>
      </c>
      <c r="I86" t="s">
        <v>415</v>
      </c>
      <c r="L86">
        <v>1</v>
      </c>
    </row>
    <row r="87" spans="1:12" x14ac:dyDescent="0.3">
      <c r="A87">
        <v>129</v>
      </c>
      <c r="B87" t="s">
        <v>422</v>
      </c>
      <c r="D87" t="s">
        <v>388</v>
      </c>
      <c r="E87">
        <v>3</v>
      </c>
      <c r="F87" t="s">
        <v>245</v>
      </c>
      <c r="G87" t="s">
        <v>316</v>
      </c>
      <c r="H87" t="s">
        <v>317</v>
      </c>
      <c r="I87" t="s">
        <v>415</v>
      </c>
      <c r="L87">
        <v>1</v>
      </c>
    </row>
    <row r="88" spans="1:12" x14ac:dyDescent="0.3">
      <c r="A88">
        <v>130</v>
      </c>
      <c r="B88" t="s">
        <v>423</v>
      </c>
      <c r="D88" t="s">
        <v>379</v>
      </c>
      <c r="E88">
        <v>2</v>
      </c>
      <c r="F88" t="s">
        <v>245</v>
      </c>
      <c r="G88" t="s">
        <v>316</v>
      </c>
      <c r="H88" t="s">
        <v>317</v>
      </c>
      <c r="I88" t="s">
        <v>415</v>
      </c>
      <c r="L88">
        <v>1</v>
      </c>
    </row>
    <row r="89" spans="1:12" x14ac:dyDescent="0.3">
      <c r="A89">
        <v>131</v>
      </c>
      <c r="B89" t="s">
        <v>424</v>
      </c>
      <c r="D89" t="s">
        <v>336</v>
      </c>
      <c r="E89">
        <v>7</v>
      </c>
      <c r="F89" t="s">
        <v>245</v>
      </c>
      <c r="G89" t="s">
        <v>316</v>
      </c>
      <c r="H89" t="s">
        <v>317</v>
      </c>
      <c r="I89" t="s">
        <v>415</v>
      </c>
      <c r="L89">
        <v>1</v>
      </c>
    </row>
    <row r="90" spans="1:12" x14ac:dyDescent="0.3">
      <c r="A90">
        <v>134</v>
      </c>
      <c r="B90" t="s">
        <v>425</v>
      </c>
      <c r="C90" t="s">
        <v>426</v>
      </c>
      <c r="D90" t="s">
        <v>427</v>
      </c>
      <c r="E90">
        <v>40</v>
      </c>
      <c r="F90" t="s">
        <v>245</v>
      </c>
      <c r="G90" t="s">
        <v>316</v>
      </c>
      <c r="H90" t="s">
        <v>247</v>
      </c>
      <c r="L90">
        <v>1</v>
      </c>
    </row>
    <row r="91" spans="1:12" x14ac:dyDescent="0.3">
      <c r="A91">
        <v>138</v>
      </c>
      <c r="B91" t="s">
        <v>428</v>
      </c>
      <c r="C91" t="s">
        <v>429</v>
      </c>
      <c r="D91" t="s">
        <v>430</v>
      </c>
      <c r="F91" t="s">
        <v>245</v>
      </c>
      <c r="G91" t="s">
        <v>316</v>
      </c>
      <c r="H91" t="s">
        <v>431</v>
      </c>
      <c r="L91">
        <v>1</v>
      </c>
    </row>
    <row r="92" spans="1:12" x14ac:dyDescent="0.3">
      <c r="A92">
        <v>151</v>
      </c>
      <c r="B92" t="s">
        <v>432</v>
      </c>
      <c r="C92" t="s">
        <v>433</v>
      </c>
      <c r="D92" t="s">
        <v>257</v>
      </c>
      <c r="F92" t="s">
        <v>245</v>
      </c>
      <c r="G92" t="s">
        <v>316</v>
      </c>
      <c r="H92" t="s">
        <v>247</v>
      </c>
      <c r="L92">
        <v>1</v>
      </c>
    </row>
    <row r="93" spans="1:12" x14ac:dyDescent="0.3">
      <c r="A93">
        <v>142</v>
      </c>
      <c r="B93" t="s">
        <v>434</v>
      </c>
      <c r="C93" t="s">
        <v>435</v>
      </c>
      <c r="D93" t="s">
        <v>436</v>
      </c>
      <c r="F93" t="s">
        <v>245</v>
      </c>
      <c r="G93" t="s">
        <v>316</v>
      </c>
      <c r="H93" t="s">
        <v>247</v>
      </c>
      <c r="L93">
        <v>1</v>
      </c>
    </row>
    <row r="94" spans="1:12" x14ac:dyDescent="0.3">
      <c r="A94">
        <v>149</v>
      </c>
      <c r="B94" t="s">
        <v>437</v>
      </c>
      <c r="C94" t="s">
        <v>438</v>
      </c>
      <c r="D94" t="s">
        <v>439</v>
      </c>
      <c r="F94" t="s">
        <v>245</v>
      </c>
      <c r="G94" t="s">
        <v>316</v>
      </c>
      <c r="H94" t="s">
        <v>247</v>
      </c>
      <c r="L94">
        <v>1</v>
      </c>
    </row>
    <row r="95" spans="1:12" x14ac:dyDescent="0.3">
      <c r="A95">
        <v>150</v>
      </c>
      <c r="B95" t="s">
        <v>440</v>
      </c>
      <c r="C95" t="s">
        <v>441</v>
      </c>
      <c r="D95" t="s">
        <v>442</v>
      </c>
      <c r="F95" t="s">
        <v>245</v>
      </c>
      <c r="G95" t="s">
        <v>316</v>
      </c>
      <c r="H95" t="s">
        <v>247</v>
      </c>
      <c r="L95">
        <v>1</v>
      </c>
    </row>
    <row r="96" spans="1:12" x14ac:dyDescent="0.3">
      <c r="A96">
        <v>163</v>
      </c>
      <c r="B96" t="s">
        <v>443</v>
      </c>
      <c r="C96" t="s">
        <v>444</v>
      </c>
      <c r="D96" t="s">
        <v>445</v>
      </c>
      <c r="F96" t="s">
        <v>245</v>
      </c>
      <c r="G96" t="s">
        <v>316</v>
      </c>
      <c r="H96" t="s">
        <v>247</v>
      </c>
      <c r="L96">
        <v>1</v>
      </c>
    </row>
    <row r="97" spans="1:12" x14ac:dyDescent="0.3">
      <c r="A97">
        <v>164</v>
      </c>
      <c r="B97" t="s">
        <v>446</v>
      </c>
      <c r="C97" t="s">
        <v>447</v>
      </c>
      <c r="D97" t="s">
        <v>448</v>
      </c>
      <c r="F97" t="s">
        <v>245</v>
      </c>
      <c r="G97" t="s">
        <v>316</v>
      </c>
      <c r="H97" t="s">
        <v>317</v>
      </c>
      <c r="I97" t="s">
        <v>284</v>
      </c>
      <c r="L97">
        <v>1</v>
      </c>
    </row>
    <row r="98" spans="1:12" x14ac:dyDescent="0.3">
      <c r="A98">
        <v>165</v>
      </c>
      <c r="B98" t="s">
        <v>449</v>
      </c>
      <c r="C98" t="s">
        <v>450</v>
      </c>
      <c r="D98" t="s">
        <v>451</v>
      </c>
      <c r="F98" t="s">
        <v>245</v>
      </c>
      <c r="G98" t="s">
        <v>316</v>
      </c>
      <c r="H98" t="s">
        <v>317</v>
      </c>
      <c r="L98">
        <v>1</v>
      </c>
    </row>
    <row r="99" spans="1:12" x14ac:dyDescent="0.3">
      <c r="A99">
        <v>166</v>
      </c>
      <c r="B99" t="s">
        <v>452</v>
      </c>
      <c r="C99" t="s">
        <v>453</v>
      </c>
      <c r="D99" t="s">
        <v>310</v>
      </c>
      <c r="F99" t="s">
        <v>245</v>
      </c>
      <c r="G99" t="s">
        <v>316</v>
      </c>
      <c r="H99" t="s">
        <v>317</v>
      </c>
      <c r="L99">
        <v>1</v>
      </c>
    </row>
    <row r="100" spans="1:12" x14ac:dyDescent="0.3">
      <c r="A100">
        <v>10</v>
      </c>
      <c r="B100" t="s">
        <v>13</v>
      </c>
      <c r="C100" t="s">
        <v>454</v>
      </c>
      <c r="D100" t="s">
        <v>338</v>
      </c>
      <c r="E100">
        <v>17</v>
      </c>
      <c r="F100" t="s">
        <v>245</v>
      </c>
      <c r="G100" t="s">
        <v>316</v>
      </c>
      <c r="H100" t="s">
        <v>247</v>
      </c>
      <c r="L100">
        <v>1</v>
      </c>
    </row>
    <row r="101" spans="1:12" x14ac:dyDescent="0.3">
      <c r="A101">
        <v>11</v>
      </c>
      <c r="B101" t="s">
        <v>6</v>
      </c>
      <c r="C101" t="s">
        <v>455</v>
      </c>
      <c r="D101" t="s">
        <v>456</v>
      </c>
      <c r="E101">
        <v>40</v>
      </c>
      <c r="F101" t="s">
        <v>245</v>
      </c>
      <c r="G101" t="s">
        <v>316</v>
      </c>
      <c r="H101" t="s">
        <v>317</v>
      </c>
      <c r="L101">
        <v>1</v>
      </c>
    </row>
    <row r="102" spans="1:12" x14ac:dyDescent="0.3">
      <c r="A102">
        <v>61</v>
      </c>
      <c r="B102" t="s">
        <v>49</v>
      </c>
      <c r="C102" t="s">
        <v>457</v>
      </c>
      <c r="D102" t="s">
        <v>458</v>
      </c>
      <c r="F102" t="s">
        <v>245</v>
      </c>
      <c r="G102" t="s">
        <v>459</v>
      </c>
      <c r="H102" t="s">
        <v>247</v>
      </c>
      <c r="L102">
        <v>2</v>
      </c>
    </row>
    <row r="103" spans="1:12" x14ac:dyDescent="0.3">
      <c r="A103">
        <v>49</v>
      </c>
      <c r="B103" t="s">
        <v>56</v>
      </c>
      <c r="D103" t="s">
        <v>430</v>
      </c>
      <c r="F103" t="s">
        <v>245</v>
      </c>
      <c r="G103" t="s">
        <v>460</v>
      </c>
      <c r="H103" t="s">
        <v>461</v>
      </c>
      <c r="I103" t="s">
        <v>462</v>
      </c>
      <c r="L103">
        <v>2</v>
      </c>
    </row>
    <row r="104" spans="1:12" x14ac:dyDescent="0.3">
      <c r="A104">
        <v>60</v>
      </c>
      <c r="B104" t="s">
        <v>463</v>
      </c>
      <c r="C104" t="s">
        <v>464</v>
      </c>
      <c r="D104" t="s">
        <v>465</v>
      </c>
      <c r="F104" t="s">
        <v>245</v>
      </c>
      <c r="G104" t="s">
        <v>466</v>
      </c>
      <c r="H104" t="s">
        <v>247</v>
      </c>
      <c r="L104">
        <v>2</v>
      </c>
    </row>
    <row r="105" spans="1:12" x14ac:dyDescent="0.3">
      <c r="A105">
        <v>84</v>
      </c>
      <c r="B105" t="s">
        <v>467</v>
      </c>
      <c r="D105" t="s">
        <v>468</v>
      </c>
      <c r="F105" t="s">
        <v>245</v>
      </c>
      <c r="G105" t="s">
        <v>469</v>
      </c>
      <c r="H105" t="s">
        <v>247</v>
      </c>
      <c r="I105" t="s">
        <v>284</v>
      </c>
      <c r="L105">
        <v>2</v>
      </c>
    </row>
    <row r="106" spans="1:12" x14ac:dyDescent="0.3">
      <c r="A106">
        <v>159</v>
      </c>
      <c r="B106" t="s">
        <v>470</v>
      </c>
      <c r="D106" t="s">
        <v>288</v>
      </c>
      <c r="F106" t="s">
        <v>245</v>
      </c>
      <c r="G106" t="s">
        <v>471</v>
      </c>
      <c r="H106" t="s">
        <v>247</v>
      </c>
      <c r="I106" t="s">
        <v>472</v>
      </c>
      <c r="L106">
        <v>2</v>
      </c>
    </row>
    <row r="107" spans="1:12" x14ac:dyDescent="0.3">
      <c r="A107">
        <v>157</v>
      </c>
      <c r="B107" t="s">
        <v>473</v>
      </c>
      <c r="D107" t="s">
        <v>474</v>
      </c>
      <c r="F107" t="s">
        <v>245</v>
      </c>
      <c r="G107" t="s">
        <v>475</v>
      </c>
      <c r="H107" t="s">
        <v>247</v>
      </c>
      <c r="I107" t="s">
        <v>476</v>
      </c>
      <c r="L107">
        <v>2</v>
      </c>
    </row>
    <row r="108" spans="1:12" x14ac:dyDescent="0.3">
      <c r="A108">
        <v>156</v>
      </c>
      <c r="B108" t="s">
        <v>477</v>
      </c>
      <c r="D108" t="s">
        <v>292</v>
      </c>
      <c r="F108" t="s">
        <v>245</v>
      </c>
      <c r="G108" t="s">
        <v>478</v>
      </c>
      <c r="H108" t="s">
        <v>247</v>
      </c>
      <c r="L108">
        <v>2</v>
      </c>
    </row>
    <row r="109" spans="1:12" x14ac:dyDescent="0.3">
      <c r="A109">
        <v>160</v>
      </c>
      <c r="B109" t="s">
        <v>479</v>
      </c>
      <c r="D109" t="s">
        <v>480</v>
      </c>
      <c r="F109" t="s">
        <v>245</v>
      </c>
      <c r="G109" t="s">
        <v>481</v>
      </c>
      <c r="H109" t="s">
        <v>247</v>
      </c>
      <c r="I109" t="s">
        <v>482</v>
      </c>
      <c r="L109">
        <v>2</v>
      </c>
    </row>
    <row r="110" spans="1:12" x14ac:dyDescent="0.3">
      <c r="A110">
        <v>73</v>
      </c>
      <c r="B110" t="s">
        <v>54</v>
      </c>
      <c r="D110" t="s">
        <v>456</v>
      </c>
      <c r="E110">
        <v>18</v>
      </c>
      <c r="F110" t="s">
        <v>245</v>
      </c>
      <c r="G110" t="s">
        <v>483</v>
      </c>
      <c r="H110" t="s">
        <v>247</v>
      </c>
      <c r="I110" t="s">
        <v>484</v>
      </c>
      <c r="L110">
        <v>2</v>
      </c>
    </row>
    <row r="111" spans="1:12" x14ac:dyDescent="0.3">
      <c r="A111">
        <v>68</v>
      </c>
      <c r="B111" t="s">
        <v>59</v>
      </c>
      <c r="D111" t="s">
        <v>456</v>
      </c>
      <c r="E111">
        <v>5</v>
      </c>
      <c r="F111" t="s">
        <v>245</v>
      </c>
      <c r="G111" t="s">
        <v>485</v>
      </c>
      <c r="H111" t="s">
        <v>461</v>
      </c>
      <c r="I111" t="s">
        <v>486</v>
      </c>
      <c r="L111">
        <v>2</v>
      </c>
    </row>
    <row r="112" spans="1:12" x14ac:dyDescent="0.3">
      <c r="A112">
        <v>47</v>
      </c>
      <c r="B112" t="s">
        <v>58</v>
      </c>
      <c r="D112" t="s">
        <v>456</v>
      </c>
      <c r="E112">
        <v>18</v>
      </c>
      <c r="F112" t="s">
        <v>245</v>
      </c>
      <c r="G112" t="s">
        <v>487</v>
      </c>
      <c r="H112" t="s">
        <v>461</v>
      </c>
      <c r="I112" t="s">
        <v>488</v>
      </c>
      <c r="L112">
        <v>2</v>
      </c>
    </row>
    <row r="113" spans="1:12" x14ac:dyDescent="0.3">
      <c r="A113">
        <v>20</v>
      </c>
      <c r="B113" t="s">
        <v>57</v>
      </c>
      <c r="D113" t="s">
        <v>489</v>
      </c>
      <c r="F113" t="s">
        <v>245</v>
      </c>
      <c r="G113" t="s">
        <v>490</v>
      </c>
      <c r="H113" t="s">
        <v>247</v>
      </c>
      <c r="I113" t="s">
        <v>491</v>
      </c>
      <c r="L113">
        <v>2</v>
      </c>
    </row>
    <row r="114" spans="1:12" x14ac:dyDescent="0.3">
      <c r="A114">
        <v>70</v>
      </c>
      <c r="B114" t="s">
        <v>492</v>
      </c>
      <c r="D114" t="s">
        <v>295</v>
      </c>
      <c r="F114" t="s">
        <v>245</v>
      </c>
      <c r="G114" t="s">
        <v>493</v>
      </c>
      <c r="H114" t="s">
        <v>247</v>
      </c>
      <c r="L114">
        <v>2</v>
      </c>
    </row>
    <row r="115" spans="1:12" x14ac:dyDescent="0.3">
      <c r="A115">
        <v>71</v>
      </c>
      <c r="B115" t="s">
        <v>55</v>
      </c>
      <c r="D115" t="s">
        <v>295</v>
      </c>
      <c r="F115" t="s">
        <v>245</v>
      </c>
      <c r="G115" t="s">
        <v>494</v>
      </c>
      <c r="H115" t="s">
        <v>247</v>
      </c>
      <c r="I115" t="s">
        <v>495</v>
      </c>
      <c r="L115">
        <v>2</v>
      </c>
    </row>
    <row r="116" spans="1:12" x14ac:dyDescent="0.3">
      <c r="A116">
        <v>161</v>
      </c>
      <c r="B116" t="s">
        <v>496</v>
      </c>
      <c r="D116" t="s">
        <v>497</v>
      </c>
      <c r="F116" t="s">
        <v>245</v>
      </c>
      <c r="G116" t="s">
        <v>498</v>
      </c>
      <c r="H116" t="s">
        <v>499</v>
      </c>
      <c r="L116">
        <v>2</v>
      </c>
    </row>
    <row r="117" spans="1:12" x14ac:dyDescent="0.3">
      <c r="A117">
        <v>48</v>
      </c>
      <c r="B117" t="s">
        <v>500</v>
      </c>
      <c r="D117" t="s">
        <v>501</v>
      </c>
      <c r="F117" t="s">
        <v>245</v>
      </c>
      <c r="G117" t="s">
        <v>502</v>
      </c>
      <c r="H117" t="s">
        <v>461</v>
      </c>
      <c r="I117" t="s">
        <v>503</v>
      </c>
      <c r="L117">
        <v>2</v>
      </c>
    </row>
    <row r="118" spans="1:12" x14ac:dyDescent="0.3">
      <c r="A118">
        <v>5</v>
      </c>
      <c r="B118" t="s">
        <v>504</v>
      </c>
      <c r="C118" t="s">
        <v>505</v>
      </c>
      <c r="D118" t="s">
        <v>344</v>
      </c>
      <c r="E118">
        <v>23</v>
      </c>
      <c r="F118" t="s">
        <v>245</v>
      </c>
      <c r="G118" t="s">
        <v>506</v>
      </c>
      <c r="H118" t="s">
        <v>317</v>
      </c>
      <c r="J118" t="s">
        <v>318</v>
      </c>
      <c r="K118" t="s">
        <v>504</v>
      </c>
      <c r="L118">
        <v>5</v>
      </c>
    </row>
    <row r="119" spans="1:12" x14ac:dyDescent="0.3">
      <c r="A119">
        <v>12</v>
      </c>
      <c r="B119" t="s">
        <v>507</v>
      </c>
      <c r="D119" t="s">
        <v>327</v>
      </c>
      <c r="E119">
        <v>32</v>
      </c>
      <c r="F119" t="s">
        <v>245</v>
      </c>
      <c r="G119" t="s">
        <v>506</v>
      </c>
      <c r="H119" t="s">
        <v>461</v>
      </c>
      <c r="I119" t="s">
        <v>508</v>
      </c>
      <c r="L119">
        <v>5</v>
      </c>
    </row>
    <row r="120" spans="1:12" x14ac:dyDescent="0.3">
      <c r="A120">
        <v>13</v>
      </c>
      <c r="B120" t="s">
        <v>52</v>
      </c>
      <c r="D120" t="s">
        <v>315</v>
      </c>
      <c r="E120">
        <v>82</v>
      </c>
      <c r="F120" t="s">
        <v>245</v>
      </c>
      <c r="G120" t="s">
        <v>506</v>
      </c>
      <c r="H120" t="s">
        <v>317</v>
      </c>
      <c r="I120" t="s">
        <v>509</v>
      </c>
      <c r="L120">
        <v>5</v>
      </c>
    </row>
    <row r="121" spans="1:12" x14ac:dyDescent="0.3">
      <c r="A121">
        <v>14</v>
      </c>
      <c r="B121" t="s">
        <v>510</v>
      </c>
      <c r="D121" t="s">
        <v>315</v>
      </c>
      <c r="E121">
        <v>10</v>
      </c>
      <c r="F121" t="s">
        <v>245</v>
      </c>
      <c r="G121" t="s">
        <v>506</v>
      </c>
      <c r="H121" t="s">
        <v>317</v>
      </c>
      <c r="I121" t="s">
        <v>511</v>
      </c>
      <c r="L121">
        <v>5</v>
      </c>
    </row>
    <row r="122" spans="1:12" x14ac:dyDescent="0.3">
      <c r="A122">
        <v>15</v>
      </c>
      <c r="B122" t="s">
        <v>512</v>
      </c>
      <c r="C122" t="s">
        <v>513</v>
      </c>
      <c r="D122" t="s">
        <v>315</v>
      </c>
      <c r="E122">
        <v>17.5</v>
      </c>
      <c r="F122" t="s">
        <v>245</v>
      </c>
      <c r="G122" t="s">
        <v>506</v>
      </c>
      <c r="H122" t="s">
        <v>247</v>
      </c>
      <c r="I122" t="s">
        <v>284</v>
      </c>
      <c r="L122">
        <v>5</v>
      </c>
    </row>
    <row r="123" spans="1:12" x14ac:dyDescent="0.3">
      <c r="A123">
        <v>17</v>
      </c>
      <c r="B123" t="s">
        <v>53</v>
      </c>
      <c r="C123" t="s">
        <v>514</v>
      </c>
      <c r="D123" t="s">
        <v>515</v>
      </c>
      <c r="F123" t="s">
        <v>245</v>
      </c>
      <c r="G123" t="s">
        <v>506</v>
      </c>
      <c r="H123" t="s">
        <v>247</v>
      </c>
      <c r="L123">
        <v>5</v>
      </c>
    </row>
    <row r="124" spans="1:12" x14ac:dyDescent="0.3">
      <c r="A124">
        <v>19</v>
      </c>
      <c r="B124" t="s">
        <v>62</v>
      </c>
      <c r="D124" t="s">
        <v>516</v>
      </c>
      <c r="E124">
        <v>50</v>
      </c>
      <c r="F124" t="s">
        <v>245</v>
      </c>
      <c r="G124" t="s">
        <v>506</v>
      </c>
      <c r="H124" t="s">
        <v>247</v>
      </c>
      <c r="L124">
        <v>5</v>
      </c>
    </row>
    <row r="125" spans="1:12" x14ac:dyDescent="0.3">
      <c r="A125">
        <v>18</v>
      </c>
      <c r="B125" t="s">
        <v>51</v>
      </c>
      <c r="C125" t="s">
        <v>517</v>
      </c>
      <c r="D125" t="s">
        <v>338</v>
      </c>
      <c r="E125">
        <v>10</v>
      </c>
      <c r="F125" t="s">
        <v>245</v>
      </c>
      <c r="G125" t="s">
        <v>506</v>
      </c>
      <c r="H125" t="s">
        <v>247</v>
      </c>
      <c r="L125">
        <v>5</v>
      </c>
    </row>
    <row r="126" spans="1:12" x14ac:dyDescent="0.3">
      <c r="A126">
        <v>23</v>
      </c>
      <c r="B126" t="s">
        <v>67</v>
      </c>
      <c r="C126" t="s">
        <v>518</v>
      </c>
      <c r="D126" t="s">
        <v>321</v>
      </c>
      <c r="E126">
        <v>42</v>
      </c>
      <c r="F126" t="s">
        <v>245</v>
      </c>
      <c r="G126" t="s">
        <v>506</v>
      </c>
      <c r="H126" t="s">
        <v>247</v>
      </c>
      <c r="L126">
        <v>5</v>
      </c>
    </row>
    <row r="127" spans="1:12" x14ac:dyDescent="0.3">
      <c r="A127">
        <v>24</v>
      </c>
      <c r="B127" t="s">
        <v>66</v>
      </c>
      <c r="C127" t="s">
        <v>519</v>
      </c>
      <c r="D127" t="s">
        <v>324</v>
      </c>
      <c r="E127">
        <v>48</v>
      </c>
      <c r="F127" t="s">
        <v>245</v>
      </c>
      <c r="G127" t="s">
        <v>506</v>
      </c>
      <c r="H127" t="s">
        <v>247</v>
      </c>
      <c r="L127">
        <v>5</v>
      </c>
    </row>
    <row r="128" spans="1:12" x14ac:dyDescent="0.3">
      <c r="A128">
        <v>25</v>
      </c>
      <c r="B128" t="s">
        <v>68</v>
      </c>
      <c r="C128" t="s">
        <v>520</v>
      </c>
      <c r="D128" t="s">
        <v>344</v>
      </c>
      <c r="E128">
        <v>41</v>
      </c>
      <c r="F128" t="s">
        <v>245</v>
      </c>
      <c r="G128" t="s">
        <v>506</v>
      </c>
      <c r="H128" t="s">
        <v>247</v>
      </c>
      <c r="L128">
        <v>5</v>
      </c>
    </row>
    <row r="129" spans="1:12" x14ac:dyDescent="0.3">
      <c r="A129">
        <v>26</v>
      </c>
      <c r="B129" t="s">
        <v>72</v>
      </c>
      <c r="C129" t="s">
        <v>521</v>
      </c>
      <c r="D129" t="s">
        <v>330</v>
      </c>
      <c r="E129">
        <v>25</v>
      </c>
      <c r="F129" t="s">
        <v>245</v>
      </c>
      <c r="G129" t="s">
        <v>506</v>
      </c>
      <c r="H129" t="s">
        <v>461</v>
      </c>
      <c r="I129" t="s">
        <v>522</v>
      </c>
      <c r="L129">
        <v>5</v>
      </c>
    </row>
    <row r="130" spans="1:12" x14ac:dyDescent="0.3">
      <c r="A130">
        <v>27</v>
      </c>
      <c r="B130" t="s">
        <v>69</v>
      </c>
      <c r="C130" t="s">
        <v>523</v>
      </c>
      <c r="D130" t="s">
        <v>332</v>
      </c>
      <c r="E130">
        <v>40</v>
      </c>
      <c r="F130" t="s">
        <v>245</v>
      </c>
      <c r="G130" t="s">
        <v>506</v>
      </c>
      <c r="H130" t="s">
        <v>247</v>
      </c>
      <c r="L130">
        <v>5</v>
      </c>
    </row>
    <row r="131" spans="1:12" x14ac:dyDescent="0.3">
      <c r="A131">
        <v>28</v>
      </c>
      <c r="B131" t="s">
        <v>70</v>
      </c>
      <c r="C131" t="s">
        <v>524</v>
      </c>
      <c r="D131" t="s">
        <v>379</v>
      </c>
      <c r="E131">
        <v>39</v>
      </c>
      <c r="F131" t="s">
        <v>245</v>
      </c>
      <c r="G131" t="s">
        <v>506</v>
      </c>
      <c r="H131" t="s">
        <v>247</v>
      </c>
      <c r="L131">
        <v>5</v>
      </c>
    </row>
    <row r="132" spans="1:12" x14ac:dyDescent="0.3">
      <c r="A132">
        <v>30</v>
      </c>
      <c r="B132" t="s">
        <v>65</v>
      </c>
      <c r="C132" t="s">
        <v>525</v>
      </c>
      <c r="D132" t="s">
        <v>336</v>
      </c>
      <c r="E132">
        <v>49</v>
      </c>
      <c r="F132" t="s">
        <v>245</v>
      </c>
      <c r="G132" t="s">
        <v>506</v>
      </c>
      <c r="H132" t="s">
        <v>247</v>
      </c>
      <c r="L132">
        <v>5</v>
      </c>
    </row>
    <row r="133" spans="1:12" x14ac:dyDescent="0.3">
      <c r="A133">
        <v>31</v>
      </c>
      <c r="B133" t="s">
        <v>526</v>
      </c>
      <c r="D133" t="s">
        <v>527</v>
      </c>
      <c r="F133" t="s">
        <v>245</v>
      </c>
      <c r="G133" t="s">
        <v>506</v>
      </c>
      <c r="H133" t="s">
        <v>247</v>
      </c>
      <c r="I133" t="s">
        <v>528</v>
      </c>
      <c r="L133">
        <v>5</v>
      </c>
    </row>
    <row r="134" spans="1:12" x14ac:dyDescent="0.3">
      <c r="A134">
        <v>44</v>
      </c>
      <c r="B134" t="s">
        <v>63</v>
      </c>
      <c r="C134" t="s">
        <v>529</v>
      </c>
      <c r="D134" t="s">
        <v>530</v>
      </c>
      <c r="F134" t="s">
        <v>245</v>
      </c>
      <c r="G134" t="s">
        <v>506</v>
      </c>
      <c r="H134" t="s">
        <v>461</v>
      </c>
      <c r="I134" t="s">
        <v>522</v>
      </c>
      <c r="L134">
        <v>5</v>
      </c>
    </row>
    <row r="135" spans="1:12" x14ac:dyDescent="0.3">
      <c r="A135">
        <v>45</v>
      </c>
      <c r="B135" t="s">
        <v>60</v>
      </c>
      <c r="C135" t="s">
        <v>531</v>
      </c>
      <c r="D135" t="s">
        <v>516</v>
      </c>
      <c r="E135">
        <v>95</v>
      </c>
      <c r="F135" t="s">
        <v>245</v>
      </c>
      <c r="G135" t="s">
        <v>506</v>
      </c>
      <c r="H135" t="s">
        <v>461</v>
      </c>
      <c r="I135" t="s">
        <v>532</v>
      </c>
      <c r="L135">
        <v>5</v>
      </c>
    </row>
    <row r="136" spans="1:12" x14ac:dyDescent="0.3">
      <c r="A136">
        <v>46</v>
      </c>
      <c r="B136" t="s">
        <v>61</v>
      </c>
      <c r="D136" t="s">
        <v>516</v>
      </c>
      <c r="E136">
        <v>90</v>
      </c>
      <c r="F136" t="s">
        <v>245</v>
      </c>
      <c r="G136" t="s">
        <v>506</v>
      </c>
      <c r="H136" t="s">
        <v>533</v>
      </c>
      <c r="I136" t="s">
        <v>534</v>
      </c>
      <c r="L136">
        <v>5</v>
      </c>
    </row>
    <row r="137" spans="1:12" x14ac:dyDescent="0.3">
      <c r="A137">
        <v>85</v>
      </c>
      <c r="B137" t="s">
        <v>535</v>
      </c>
      <c r="C137" t="s">
        <v>536</v>
      </c>
      <c r="D137" t="s">
        <v>338</v>
      </c>
      <c r="E137">
        <v>7</v>
      </c>
      <c r="F137" t="s">
        <v>245</v>
      </c>
      <c r="G137" t="s">
        <v>506</v>
      </c>
      <c r="H137" t="s">
        <v>247</v>
      </c>
      <c r="I137" t="s">
        <v>537</v>
      </c>
      <c r="L137">
        <v>5</v>
      </c>
    </row>
    <row r="138" spans="1:12" x14ac:dyDescent="0.3">
      <c r="A138">
        <v>86</v>
      </c>
      <c r="B138" t="s">
        <v>75</v>
      </c>
      <c r="C138" t="s">
        <v>538</v>
      </c>
      <c r="D138" t="s">
        <v>327</v>
      </c>
      <c r="E138">
        <v>48</v>
      </c>
      <c r="F138" t="s">
        <v>245</v>
      </c>
      <c r="G138" t="s">
        <v>506</v>
      </c>
      <c r="H138" t="s">
        <v>247</v>
      </c>
      <c r="J138" t="s">
        <v>383</v>
      </c>
      <c r="K138" t="s">
        <v>75</v>
      </c>
      <c r="L138">
        <v>5</v>
      </c>
    </row>
    <row r="139" spans="1:12" x14ac:dyDescent="0.3">
      <c r="A139">
        <v>87</v>
      </c>
      <c r="B139" t="s">
        <v>77</v>
      </c>
      <c r="D139" t="s">
        <v>539</v>
      </c>
      <c r="F139" t="s">
        <v>245</v>
      </c>
      <c r="G139" t="s">
        <v>506</v>
      </c>
      <c r="H139" t="s">
        <v>247</v>
      </c>
      <c r="J139" t="s">
        <v>383</v>
      </c>
      <c r="K139" t="s">
        <v>77</v>
      </c>
      <c r="L139">
        <v>5</v>
      </c>
    </row>
    <row r="140" spans="1:12" x14ac:dyDescent="0.3">
      <c r="A140">
        <v>89</v>
      </c>
      <c r="B140" t="s">
        <v>76</v>
      </c>
      <c r="C140" t="s">
        <v>540</v>
      </c>
      <c r="D140" t="s">
        <v>330</v>
      </c>
      <c r="E140">
        <v>35</v>
      </c>
      <c r="F140" t="s">
        <v>245</v>
      </c>
      <c r="G140" t="s">
        <v>506</v>
      </c>
      <c r="H140" t="s">
        <v>247</v>
      </c>
      <c r="J140" t="s">
        <v>383</v>
      </c>
      <c r="K140" t="s">
        <v>76</v>
      </c>
      <c r="L140">
        <v>5</v>
      </c>
    </row>
    <row r="141" spans="1:12" x14ac:dyDescent="0.3">
      <c r="A141">
        <v>96</v>
      </c>
      <c r="B141" t="s">
        <v>541</v>
      </c>
      <c r="D141" t="s">
        <v>315</v>
      </c>
      <c r="E141">
        <v>32</v>
      </c>
      <c r="F141" t="s">
        <v>245</v>
      </c>
      <c r="G141" t="s">
        <v>506</v>
      </c>
      <c r="H141" t="s">
        <v>247</v>
      </c>
      <c r="I141" t="s">
        <v>542</v>
      </c>
      <c r="L141">
        <v>5</v>
      </c>
    </row>
    <row r="142" spans="1:12" x14ac:dyDescent="0.3">
      <c r="A142">
        <v>97</v>
      </c>
      <c r="B142" t="s">
        <v>543</v>
      </c>
      <c r="D142" t="s">
        <v>527</v>
      </c>
      <c r="F142" t="s">
        <v>245</v>
      </c>
      <c r="G142" t="s">
        <v>506</v>
      </c>
      <c r="H142" t="s">
        <v>247</v>
      </c>
      <c r="I142" t="s">
        <v>542</v>
      </c>
      <c r="L142">
        <v>5</v>
      </c>
    </row>
    <row r="143" spans="1:12" x14ac:dyDescent="0.3">
      <c r="A143">
        <v>98</v>
      </c>
      <c r="B143" t="s">
        <v>544</v>
      </c>
      <c r="D143" t="s">
        <v>527</v>
      </c>
      <c r="F143" t="s">
        <v>245</v>
      </c>
      <c r="G143" t="s">
        <v>506</v>
      </c>
      <c r="H143" t="s">
        <v>247</v>
      </c>
      <c r="I143" t="s">
        <v>545</v>
      </c>
      <c r="L143">
        <v>5</v>
      </c>
    </row>
    <row r="144" spans="1:12" x14ac:dyDescent="0.3">
      <c r="A144">
        <v>109</v>
      </c>
      <c r="B144" t="s">
        <v>546</v>
      </c>
      <c r="D144" t="s">
        <v>547</v>
      </c>
      <c r="F144" t="s">
        <v>245</v>
      </c>
      <c r="G144" t="s">
        <v>506</v>
      </c>
      <c r="H144" t="s">
        <v>247</v>
      </c>
      <c r="I144" t="s">
        <v>542</v>
      </c>
      <c r="L144">
        <v>5</v>
      </c>
    </row>
    <row r="145" spans="1:12" x14ac:dyDescent="0.3">
      <c r="A145">
        <v>121</v>
      </c>
      <c r="B145" t="s">
        <v>548</v>
      </c>
      <c r="C145" t="s">
        <v>549</v>
      </c>
      <c r="D145" t="s">
        <v>338</v>
      </c>
      <c r="E145">
        <v>18</v>
      </c>
      <c r="F145" t="s">
        <v>245</v>
      </c>
      <c r="G145" t="s">
        <v>506</v>
      </c>
      <c r="H145" t="s">
        <v>247</v>
      </c>
      <c r="L145">
        <v>5</v>
      </c>
    </row>
    <row r="146" spans="1:12" x14ac:dyDescent="0.3">
      <c r="A146">
        <v>123</v>
      </c>
      <c r="B146" t="s">
        <v>550</v>
      </c>
      <c r="C146" t="s">
        <v>551</v>
      </c>
      <c r="D146" t="s">
        <v>552</v>
      </c>
      <c r="F146" t="s">
        <v>245</v>
      </c>
      <c r="G146" t="s">
        <v>506</v>
      </c>
      <c r="H146" t="s">
        <v>247</v>
      </c>
      <c r="L146">
        <v>5</v>
      </c>
    </row>
    <row r="147" spans="1:12" x14ac:dyDescent="0.3">
      <c r="A147">
        <v>135</v>
      </c>
      <c r="B147" t="s">
        <v>553</v>
      </c>
      <c r="C147" t="s">
        <v>554</v>
      </c>
      <c r="D147" t="s">
        <v>555</v>
      </c>
      <c r="F147" t="s">
        <v>245</v>
      </c>
      <c r="G147" t="s">
        <v>506</v>
      </c>
      <c r="H147" t="s">
        <v>461</v>
      </c>
      <c r="I147" t="s">
        <v>522</v>
      </c>
      <c r="L147">
        <v>5</v>
      </c>
    </row>
    <row r="148" spans="1:12" x14ac:dyDescent="0.3">
      <c r="A148">
        <v>137</v>
      </c>
      <c r="B148" t="s">
        <v>556</v>
      </c>
      <c r="D148" t="s">
        <v>557</v>
      </c>
      <c r="F148" t="s">
        <v>245</v>
      </c>
      <c r="G148" t="s">
        <v>506</v>
      </c>
      <c r="H148" t="s">
        <v>461</v>
      </c>
      <c r="I148" t="s">
        <v>522</v>
      </c>
      <c r="L148">
        <v>5</v>
      </c>
    </row>
    <row r="149" spans="1:12" x14ac:dyDescent="0.3">
      <c r="A149">
        <v>139</v>
      </c>
      <c r="B149" t="s">
        <v>558</v>
      </c>
      <c r="D149" t="s">
        <v>315</v>
      </c>
      <c r="E149">
        <v>14</v>
      </c>
      <c r="F149" t="s">
        <v>245</v>
      </c>
      <c r="G149" t="s">
        <v>506</v>
      </c>
      <c r="H149" t="s">
        <v>431</v>
      </c>
      <c r="L149">
        <v>5</v>
      </c>
    </row>
    <row r="150" spans="1:12" x14ac:dyDescent="0.3">
      <c r="A150">
        <v>140</v>
      </c>
      <c r="B150" t="s">
        <v>559</v>
      </c>
      <c r="D150" t="s">
        <v>448</v>
      </c>
      <c r="F150" t="s">
        <v>245</v>
      </c>
      <c r="G150" t="s">
        <v>506</v>
      </c>
      <c r="H150" t="s">
        <v>247</v>
      </c>
      <c r="I150" t="s">
        <v>560</v>
      </c>
      <c r="L150">
        <v>5</v>
      </c>
    </row>
    <row r="151" spans="1:12" x14ac:dyDescent="0.3">
      <c r="A151">
        <v>141</v>
      </c>
      <c r="B151" t="s">
        <v>561</v>
      </c>
      <c r="D151" t="s">
        <v>451</v>
      </c>
      <c r="F151" t="s">
        <v>245</v>
      </c>
      <c r="G151" t="s">
        <v>506</v>
      </c>
      <c r="H151" t="s">
        <v>247</v>
      </c>
      <c r="L151">
        <v>5</v>
      </c>
    </row>
    <row r="152" spans="1:12" x14ac:dyDescent="0.3">
      <c r="A152">
        <v>153</v>
      </c>
      <c r="B152" t="s">
        <v>562</v>
      </c>
      <c r="D152" t="s">
        <v>448</v>
      </c>
      <c r="F152" t="s">
        <v>245</v>
      </c>
      <c r="G152" t="s">
        <v>506</v>
      </c>
      <c r="H152" t="s">
        <v>247</v>
      </c>
      <c r="I152" t="s">
        <v>563</v>
      </c>
      <c r="L152">
        <v>5</v>
      </c>
    </row>
    <row r="153" spans="1:12" x14ac:dyDescent="0.3">
      <c r="A153">
        <v>154</v>
      </c>
      <c r="B153" t="s">
        <v>564</v>
      </c>
      <c r="D153" t="s">
        <v>565</v>
      </c>
      <c r="F153" t="s">
        <v>245</v>
      </c>
      <c r="G153" t="s">
        <v>506</v>
      </c>
      <c r="H153" t="s">
        <v>247</v>
      </c>
      <c r="I153" t="s">
        <v>566</v>
      </c>
      <c r="L153">
        <v>5</v>
      </c>
    </row>
    <row r="154" spans="1:12" x14ac:dyDescent="0.3">
      <c r="A154">
        <v>167</v>
      </c>
      <c r="B154" t="s">
        <v>567</v>
      </c>
      <c r="C154" t="s">
        <v>568</v>
      </c>
      <c r="D154" t="s">
        <v>388</v>
      </c>
      <c r="E154">
        <v>57</v>
      </c>
      <c r="F154" t="s">
        <v>245</v>
      </c>
      <c r="G154" t="s">
        <v>506</v>
      </c>
      <c r="H154" t="s">
        <v>247</v>
      </c>
      <c r="J154" t="s">
        <v>383</v>
      </c>
      <c r="K154" t="s">
        <v>567</v>
      </c>
      <c r="L154">
        <v>5</v>
      </c>
    </row>
    <row r="155" spans="1:12" x14ac:dyDescent="0.3">
      <c r="A155">
        <v>168</v>
      </c>
      <c r="B155" t="s">
        <v>569</v>
      </c>
      <c r="C155" t="s">
        <v>570</v>
      </c>
      <c r="D155" t="s">
        <v>338</v>
      </c>
      <c r="E155">
        <v>8</v>
      </c>
      <c r="F155" t="s">
        <v>245</v>
      </c>
      <c r="G155" t="s">
        <v>506</v>
      </c>
      <c r="H155" t="s">
        <v>461</v>
      </c>
      <c r="I155" t="s">
        <v>571</v>
      </c>
      <c r="L155">
        <v>5</v>
      </c>
    </row>
    <row r="156" spans="1:12" x14ac:dyDescent="0.3">
      <c r="A156">
        <v>113</v>
      </c>
      <c r="B156" t="s">
        <v>572</v>
      </c>
      <c r="C156" t="s">
        <v>573</v>
      </c>
      <c r="D156" t="s">
        <v>324</v>
      </c>
      <c r="E156">
        <v>80</v>
      </c>
      <c r="F156" t="s">
        <v>245</v>
      </c>
      <c r="G156" t="s">
        <v>506</v>
      </c>
      <c r="H156" t="s">
        <v>247</v>
      </c>
      <c r="J156" t="s">
        <v>383</v>
      </c>
      <c r="K156" t="s">
        <v>572</v>
      </c>
      <c r="L156">
        <v>5</v>
      </c>
    </row>
    <row r="157" spans="1:12" x14ac:dyDescent="0.3">
      <c r="A157">
        <v>112</v>
      </c>
      <c r="B157" t="s">
        <v>574</v>
      </c>
      <c r="C157" t="s">
        <v>575</v>
      </c>
      <c r="D157" t="s">
        <v>324</v>
      </c>
      <c r="E157">
        <v>70</v>
      </c>
      <c r="F157" t="s">
        <v>245</v>
      </c>
      <c r="G157" t="s">
        <v>506</v>
      </c>
      <c r="H157" t="s">
        <v>247</v>
      </c>
      <c r="J157" t="s">
        <v>383</v>
      </c>
      <c r="K157" t="s">
        <v>574</v>
      </c>
      <c r="L157">
        <v>5</v>
      </c>
    </row>
    <row r="158" spans="1:12" x14ac:dyDescent="0.3">
      <c r="A158">
        <v>120</v>
      </c>
      <c r="B158" t="s">
        <v>576</v>
      </c>
      <c r="C158" t="s">
        <v>577</v>
      </c>
      <c r="D158" t="s">
        <v>332</v>
      </c>
      <c r="E158">
        <v>50</v>
      </c>
      <c r="F158" t="s">
        <v>245</v>
      </c>
      <c r="G158" t="s">
        <v>506</v>
      </c>
      <c r="H158" t="s">
        <v>247</v>
      </c>
      <c r="J158" t="s">
        <v>383</v>
      </c>
      <c r="K158" t="s">
        <v>576</v>
      </c>
      <c r="L158">
        <v>5</v>
      </c>
    </row>
    <row r="159" spans="1:12" x14ac:dyDescent="0.3">
      <c r="A159">
        <v>116</v>
      </c>
      <c r="B159" t="s">
        <v>578</v>
      </c>
      <c r="C159" t="s">
        <v>579</v>
      </c>
      <c r="D159" t="s">
        <v>321</v>
      </c>
      <c r="E159">
        <v>56</v>
      </c>
      <c r="F159" t="s">
        <v>245</v>
      </c>
      <c r="G159" t="s">
        <v>506</v>
      </c>
      <c r="H159" t="s">
        <v>247</v>
      </c>
      <c r="J159" t="s">
        <v>383</v>
      </c>
      <c r="K159" t="s">
        <v>578</v>
      </c>
      <c r="L159">
        <v>5</v>
      </c>
    </row>
    <row r="160" spans="1:12" x14ac:dyDescent="0.3">
      <c r="A160">
        <v>114</v>
      </c>
      <c r="B160" t="s">
        <v>78</v>
      </c>
      <c r="C160" t="s">
        <v>580</v>
      </c>
      <c r="D160" t="s">
        <v>327</v>
      </c>
      <c r="E160">
        <v>64</v>
      </c>
      <c r="F160" t="s">
        <v>245</v>
      </c>
      <c r="G160" t="s">
        <v>506</v>
      </c>
      <c r="H160" t="s">
        <v>247</v>
      </c>
      <c r="J160" t="s">
        <v>383</v>
      </c>
      <c r="K160" t="s">
        <v>78</v>
      </c>
      <c r="L160">
        <v>5</v>
      </c>
    </row>
    <row r="161" spans="1:12" x14ac:dyDescent="0.3">
      <c r="A161">
        <v>115</v>
      </c>
      <c r="B161" t="s">
        <v>80</v>
      </c>
      <c r="D161" t="s">
        <v>539</v>
      </c>
      <c r="F161" t="s">
        <v>245</v>
      </c>
      <c r="G161" t="s">
        <v>506</v>
      </c>
      <c r="H161" t="s">
        <v>247</v>
      </c>
      <c r="J161" t="s">
        <v>383</v>
      </c>
      <c r="K161" t="s">
        <v>80</v>
      </c>
      <c r="L161">
        <v>5</v>
      </c>
    </row>
    <row r="162" spans="1:12" x14ac:dyDescent="0.3">
      <c r="A162">
        <v>117</v>
      </c>
      <c r="B162" t="s">
        <v>581</v>
      </c>
      <c r="C162" t="s">
        <v>582</v>
      </c>
      <c r="D162" t="s">
        <v>344</v>
      </c>
      <c r="E162">
        <v>45</v>
      </c>
      <c r="F162" t="s">
        <v>245</v>
      </c>
      <c r="G162" t="s">
        <v>506</v>
      </c>
      <c r="H162" t="s">
        <v>247</v>
      </c>
      <c r="J162" t="s">
        <v>383</v>
      </c>
      <c r="K162" t="s">
        <v>581</v>
      </c>
      <c r="L162">
        <v>5</v>
      </c>
    </row>
    <row r="163" spans="1:12" x14ac:dyDescent="0.3">
      <c r="A163">
        <v>118</v>
      </c>
      <c r="B163" t="s">
        <v>79</v>
      </c>
      <c r="C163" t="s">
        <v>583</v>
      </c>
      <c r="D163" t="s">
        <v>330</v>
      </c>
      <c r="E163">
        <v>45</v>
      </c>
      <c r="F163" t="s">
        <v>245</v>
      </c>
      <c r="G163" t="s">
        <v>506</v>
      </c>
      <c r="H163" t="s">
        <v>247</v>
      </c>
      <c r="J163" t="s">
        <v>383</v>
      </c>
      <c r="K163" t="s">
        <v>79</v>
      </c>
      <c r="L163">
        <v>5</v>
      </c>
    </row>
    <row r="164" spans="1:12" x14ac:dyDescent="0.3">
      <c r="A164">
        <v>119</v>
      </c>
      <c r="B164" t="s">
        <v>584</v>
      </c>
      <c r="C164" t="s">
        <v>585</v>
      </c>
      <c r="D164" t="s">
        <v>336</v>
      </c>
      <c r="E164">
        <v>72</v>
      </c>
      <c r="F164" t="s">
        <v>245</v>
      </c>
      <c r="G164" t="s">
        <v>506</v>
      </c>
      <c r="H164" t="s">
        <v>247</v>
      </c>
      <c r="J164" t="s">
        <v>383</v>
      </c>
      <c r="K164" t="s">
        <v>584</v>
      </c>
      <c r="L164">
        <v>5</v>
      </c>
    </row>
    <row r="165" spans="1:12" x14ac:dyDescent="0.3">
      <c r="A165">
        <v>34</v>
      </c>
      <c r="B165" t="s">
        <v>50</v>
      </c>
      <c r="C165" t="s">
        <v>586</v>
      </c>
      <c r="D165" t="s">
        <v>315</v>
      </c>
      <c r="E165">
        <v>25</v>
      </c>
      <c r="F165" t="s">
        <v>245</v>
      </c>
      <c r="G165" t="s">
        <v>587</v>
      </c>
      <c r="H165" t="s">
        <v>247</v>
      </c>
      <c r="I165" t="s">
        <v>588</v>
      </c>
      <c r="L165">
        <v>5</v>
      </c>
    </row>
    <row r="166" spans="1:12" x14ac:dyDescent="0.3">
      <c r="A166">
        <v>170</v>
      </c>
      <c r="B166" t="s">
        <v>589</v>
      </c>
      <c r="D166" t="s">
        <v>315</v>
      </c>
      <c r="E166">
        <v>35</v>
      </c>
      <c r="F166" t="s">
        <v>245</v>
      </c>
      <c r="G166" t="s">
        <v>590</v>
      </c>
      <c r="H166" t="s">
        <v>247</v>
      </c>
      <c r="I166" t="s">
        <v>591</v>
      </c>
      <c r="L166">
        <v>5</v>
      </c>
    </row>
    <row r="167" spans="1:12" x14ac:dyDescent="0.3">
      <c r="A167">
        <v>43</v>
      </c>
      <c r="B167" t="s">
        <v>592</v>
      </c>
      <c r="C167" t="s">
        <v>593</v>
      </c>
      <c r="D167" t="s">
        <v>338</v>
      </c>
      <c r="E167">
        <v>8</v>
      </c>
      <c r="F167" t="s">
        <v>245</v>
      </c>
      <c r="G167" t="s">
        <v>594</v>
      </c>
      <c r="H167" t="s">
        <v>461</v>
      </c>
      <c r="I167" t="s">
        <v>595</v>
      </c>
      <c r="L167">
        <v>5</v>
      </c>
    </row>
    <row r="168" spans="1:12" x14ac:dyDescent="0.3">
      <c r="A168">
        <v>21</v>
      </c>
      <c r="B168" t="s">
        <v>71</v>
      </c>
      <c r="C168" t="s">
        <v>596</v>
      </c>
      <c r="D168" t="s">
        <v>327</v>
      </c>
      <c r="E168">
        <v>32</v>
      </c>
      <c r="F168" t="s">
        <v>245</v>
      </c>
      <c r="G168" t="s">
        <v>597</v>
      </c>
      <c r="H168" t="s">
        <v>461</v>
      </c>
      <c r="I168" t="s">
        <v>598</v>
      </c>
      <c r="L168">
        <v>5</v>
      </c>
    </row>
    <row r="169" spans="1:12" x14ac:dyDescent="0.3">
      <c r="A169">
        <v>22</v>
      </c>
      <c r="B169" t="s">
        <v>73</v>
      </c>
      <c r="C169" t="s">
        <v>599</v>
      </c>
      <c r="D169" t="s">
        <v>539</v>
      </c>
      <c r="F169" t="s">
        <v>245</v>
      </c>
      <c r="G169" t="s">
        <v>597</v>
      </c>
      <c r="H169" t="s">
        <v>461</v>
      </c>
      <c r="I169" t="s">
        <v>522</v>
      </c>
      <c r="L169">
        <v>5</v>
      </c>
    </row>
    <row r="170" spans="1:12" x14ac:dyDescent="0.3">
      <c r="A170">
        <v>147</v>
      </c>
      <c r="B170" t="s">
        <v>600</v>
      </c>
      <c r="C170" t="s">
        <v>601</v>
      </c>
      <c r="D170" t="s">
        <v>602</v>
      </c>
      <c r="F170" t="s">
        <v>245</v>
      </c>
      <c r="G170" t="s">
        <v>603</v>
      </c>
      <c r="H170" t="s">
        <v>247</v>
      </c>
      <c r="I170" t="s">
        <v>604</v>
      </c>
      <c r="L170">
        <v>50</v>
      </c>
    </row>
    <row r="171" spans="1:12" x14ac:dyDescent="0.3">
      <c r="A171">
        <v>136</v>
      </c>
      <c r="B171" t="s">
        <v>605</v>
      </c>
      <c r="C171" t="s">
        <v>606</v>
      </c>
      <c r="D171" t="s">
        <v>607</v>
      </c>
      <c r="F171" t="s">
        <v>245</v>
      </c>
      <c r="G171" t="s">
        <v>608</v>
      </c>
      <c r="H171" t="s">
        <v>499</v>
      </c>
      <c r="I171" t="s">
        <v>522</v>
      </c>
      <c r="L171">
        <v>50</v>
      </c>
    </row>
    <row r="172" spans="1:12" x14ac:dyDescent="0.3">
      <c r="A172">
        <v>169</v>
      </c>
      <c r="B172" t="s">
        <v>609</v>
      </c>
      <c r="C172" t="s">
        <v>610</v>
      </c>
      <c r="D172" t="s">
        <v>315</v>
      </c>
      <c r="E172">
        <v>45</v>
      </c>
      <c r="F172" t="s">
        <v>245</v>
      </c>
      <c r="G172" t="s">
        <v>590</v>
      </c>
      <c r="H172" t="s">
        <v>247</v>
      </c>
      <c r="I172" t="s">
        <v>247</v>
      </c>
      <c r="L172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2"/>
  <sheetViews>
    <sheetView tabSelected="1" workbookViewId="0">
      <selection activeCell="F7" sqref="F7"/>
    </sheetView>
  </sheetViews>
  <sheetFormatPr defaultRowHeight="14.4" x14ac:dyDescent="0.3"/>
  <cols>
    <col min="1" max="1" width="49.77734375" bestFit="1" customWidth="1"/>
    <col min="2" max="2" width="59.6640625" bestFit="1" customWidth="1"/>
    <col min="3" max="3" width="10.88671875" bestFit="1" customWidth="1"/>
    <col min="4" max="4" width="51.44140625" bestFit="1" customWidth="1"/>
    <col min="5" max="5" width="139.33203125" bestFit="1" customWidth="1"/>
    <col min="6" max="6" width="107.77734375" bestFit="1" customWidth="1"/>
    <col min="7" max="7" width="12.33203125" bestFit="1" customWidth="1"/>
    <col min="8" max="8" width="22.109375" bestFit="1" customWidth="1"/>
    <col min="9" max="9" width="228" bestFit="1" customWidth="1"/>
    <col min="10" max="10" width="213.44140625" bestFit="1" customWidth="1"/>
    <col min="11" max="11" width="230.6640625" bestFit="1" customWidth="1"/>
    <col min="12" max="12" width="94.21875" bestFit="1" customWidth="1"/>
  </cols>
  <sheetData>
    <row r="1" spans="1:17" x14ac:dyDescent="0.3">
      <c r="A1" s="16" t="s">
        <v>611</v>
      </c>
      <c r="B1" s="16" t="s">
        <v>612</v>
      </c>
      <c r="C1" s="16" t="s">
        <v>613</v>
      </c>
      <c r="D1" s="16" t="s">
        <v>614</v>
      </c>
      <c r="E1" s="16" t="s">
        <v>615</v>
      </c>
      <c r="F1" s="16" t="s">
        <v>616</v>
      </c>
      <c r="G1" s="16" t="s">
        <v>617</v>
      </c>
      <c r="H1" s="16" t="s">
        <v>618</v>
      </c>
      <c r="I1" s="16" t="s">
        <v>619</v>
      </c>
      <c r="J1" s="16" t="s">
        <v>620</v>
      </c>
      <c r="K1" s="16" t="s">
        <v>621</v>
      </c>
      <c r="L1" s="16" t="s">
        <v>622</v>
      </c>
      <c r="M1" s="16"/>
      <c r="N1" s="16"/>
      <c r="O1" s="16"/>
      <c r="P1" s="16"/>
      <c r="Q1" s="16"/>
    </row>
    <row r="2" spans="1:17" x14ac:dyDescent="0.3">
      <c r="A2" s="16" t="s">
        <v>623</v>
      </c>
      <c r="B2" s="16" t="s">
        <v>624</v>
      </c>
      <c r="C2" s="16" t="s">
        <v>625</v>
      </c>
      <c r="D2" s="16" t="s">
        <v>626</v>
      </c>
      <c r="E2" s="16" t="s">
        <v>627</v>
      </c>
      <c r="F2" s="16" t="s">
        <v>628</v>
      </c>
      <c r="G2" s="16" t="s">
        <v>629</v>
      </c>
      <c r="H2" s="16" t="s">
        <v>630</v>
      </c>
      <c r="I2" s="16" t="s">
        <v>631</v>
      </c>
      <c r="J2" s="16" t="s">
        <v>632</v>
      </c>
      <c r="K2" s="16" t="s">
        <v>633</v>
      </c>
      <c r="L2" s="16" t="s">
        <v>634</v>
      </c>
      <c r="M2" s="16"/>
      <c r="N2" s="16"/>
      <c r="O2" s="16"/>
      <c r="P2" s="16"/>
      <c r="Q2" s="16"/>
    </row>
    <row r="3" spans="1:17" x14ac:dyDescent="0.3">
      <c r="A3" s="16" t="s">
        <v>635</v>
      </c>
      <c r="B3" s="16" t="s">
        <v>81</v>
      </c>
      <c r="C3" s="16" t="s">
        <v>636</v>
      </c>
      <c r="D3" s="16" t="s">
        <v>637</v>
      </c>
      <c r="E3" s="16" t="s">
        <v>638</v>
      </c>
      <c r="F3" s="16" t="s">
        <v>639</v>
      </c>
      <c r="G3" s="16" t="s">
        <v>640</v>
      </c>
      <c r="H3" s="16">
        <v>5</v>
      </c>
      <c r="I3" s="16" t="s">
        <v>641</v>
      </c>
      <c r="J3" s="16" t="s">
        <v>642</v>
      </c>
      <c r="K3" s="16" t="s">
        <v>643</v>
      </c>
      <c r="L3" s="16" t="s">
        <v>644</v>
      </c>
      <c r="M3" s="16"/>
      <c r="N3" s="16"/>
      <c r="O3" s="16"/>
      <c r="P3" s="16"/>
      <c r="Q3" s="16"/>
    </row>
    <row r="4" spans="1:17" x14ac:dyDescent="0.3">
      <c r="A4" s="16" t="s">
        <v>635</v>
      </c>
      <c r="B4" s="16" t="s">
        <v>83</v>
      </c>
      <c r="C4" s="16" t="s">
        <v>645</v>
      </c>
      <c r="D4" s="16" t="s">
        <v>646</v>
      </c>
      <c r="E4" s="16" t="s">
        <v>647</v>
      </c>
      <c r="F4" s="16" t="s">
        <v>648</v>
      </c>
      <c r="G4" s="16" t="s">
        <v>649</v>
      </c>
      <c r="H4" s="16">
        <v>0.5</v>
      </c>
      <c r="I4" s="16" t="s">
        <v>650</v>
      </c>
      <c r="J4" s="16" t="s">
        <v>651</v>
      </c>
      <c r="K4" s="16" t="s">
        <v>652</v>
      </c>
      <c r="L4" s="16" t="s">
        <v>644</v>
      </c>
      <c r="M4" s="16"/>
      <c r="N4" s="16"/>
      <c r="O4" s="16"/>
      <c r="P4" s="16"/>
      <c r="Q4" s="16"/>
    </row>
    <row r="5" spans="1:17" x14ac:dyDescent="0.3">
      <c r="A5" s="16" t="s">
        <v>635</v>
      </c>
      <c r="B5" s="16" t="s">
        <v>84</v>
      </c>
      <c r="C5" s="16" t="s">
        <v>653</v>
      </c>
      <c r="D5" s="16" t="s">
        <v>654</v>
      </c>
      <c r="E5" s="16" t="s">
        <v>655</v>
      </c>
      <c r="F5" s="16" t="s">
        <v>656</v>
      </c>
      <c r="G5" s="16" t="s">
        <v>657</v>
      </c>
      <c r="H5" s="16">
        <v>2</v>
      </c>
      <c r="I5" s="16" t="s">
        <v>658</v>
      </c>
      <c r="J5" s="16" t="s">
        <v>659</v>
      </c>
      <c r="K5" s="16" t="s">
        <v>660</v>
      </c>
      <c r="L5" s="16" t="s">
        <v>644</v>
      </c>
      <c r="M5" s="16"/>
      <c r="N5" s="16"/>
      <c r="O5" s="16"/>
      <c r="P5" s="16"/>
      <c r="Q5" s="16"/>
    </row>
    <row r="6" spans="1:17" x14ac:dyDescent="0.3">
      <c r="A6" s="16" t="s">
        <v>635</v>
      </c>
      <c r="B6" s="16" t="s">
        <v>85</v>
      </c>
      <c r="C6" s="16" t="s">
        <v>661</v>
      </c>
      <c r="D6" s="16" t="s">
        <v>662</v>
      </c>
      <c r="E6" s="16" t="s">
        <v>663</v>
      </c>
      <c r="F6" s="16" t="s">
        <v>664</v>
      </c>
      <c r="G6" s="16" t="s">
        <v>665</v>
      </c>
      <c r="H6" s="16">
        <v>2</v>
      </c>
      <c r="I6" s="16" t="s">
        <v>666</v>
      </c>
      <c r="J6" s="16" t="s">
        <v>667</v>
      </c>
      <c r="K6" s="16" t="s">
        <v>668</v>
      </c>
      <c r="L6" s="16" t="s">
        <v>644</v>
      </c>
      <c r="M6" s="16"/>
      <c r="N6" s="16"/>
      <c r="O6" s="16"/>
      <c r="P6" s="16"/>
      <c r="Q6" s="16"/>
    </row>
    <row r="7" spans="1:17" x14ac:dyDescent="0.3">
      <c r="A7" s="16" t="s">
        <v>635</v>
      </c>
      <c r="B7" s="16" t="s">
        <v>86</v>
      </c>
      <c r="C7" s="16" t="s">
        <v>669</v>
      </c>
      <c r="D7" s="16" t="s">
        <v>670</v>
      </c>
      <c r="E7" s="16" t="s">
        <v>671</v>
      </c>
      <c r="F7" s="16" t="s">
        <v>672</v>
      </c>
      <c r="G7" s="16" t="s">
        <v>673</v>
      </c>
      <c r="H7" s="16">
        <v>5</v>
      </c>
      <c r="I7" s="16" t="s">
        <v>674</v>
      </c>
      <c r="J7" s="16" t="s">
        <v>675</v>
      </c>
      <c r="K7" s="16" t="s">
        <v>676</v>
      </c>
      <c r="L7" s="16" t="s">
        <v>677</v>
      </c>
      <c r="M7" s="16"/>
      <c r="N7" s="16"/>
      <c r="O7" s="16"/>
      <c r="P7" s="16"/>
      <c r="Q7" s="16"/>
    </row>
    <row r="8" spans="1:17" x14ac:dyDescent="0.3">
      <c r="A8" s="16" t="s">
        <v>635</v>
      </c>
      <c r="B8" s="16" t="s">
        <v>87</v>
      </c>
      <c r="C8" s="16" t="s">
        <v>678</v>
      </c>
      <c r="D8" s="16" t="s">
        <v>679</v>
      </c>
      <c r="E8" s="16" t="s">
        <v>680</v>
      </c>
      <c r="F8" s="16" t="s">
        <v>681</v>
      </c>
      <c r="G8" s="16" t="s">
        <v>649</v>
      </c>
      <c r="H8" s="16">
        <v>8</v>
      </c>
      <c r="I8" s="16" t="s">
        <v>682</v>
      </c>
      <c r="J8" s="16" t="s">
        <v>683</v>
      </c>
      <c r="K8" s="16" t="s">
        <v>684</v>
      </c>
      <c r="L8" s="16" t="s">
        <v>644</v>
      </c>
      <c r="M8" s="16"/>
      <c r="N8" s="16"/>
      <c r="O8" s="16"/>
      <c r="P8" s="16"/>
      <c r="Q8" s="16"/>
    </row>
    <row r="9" spans="1:17" x14ac:dyDescent="0.3">
      <c r="A9" s="16" t="s">
        <v>635</v>
      </c>
      <c r="B9" s="16" t="s">
        <v>89</v>
      </c>
      <c r="C9" s="16" t="s">
        <v>685</v>
      </c>
      <c r="D9" s="16" t="s">
        <v>686</v>
      </c>
      <c r="E9" s="16" t="s">
        <v>687</v>
      </c>
      <c r="F9" s="16" t="s">
        <v>688</v>
      </c>
      <c r="G9" s="16" t="s">
        <v>649</v>
      </c>
      <c r="H9" s="16">
        <v>1.5</v>
      </c>
      <c r="I9" s="16" t="s">
        <v>689</v>
      </c>
      <c r="J9" s="16" t="s">
        <v>690</v>
      </c>
      <c r="K9" s="16" t="s">
        <v>691</v>
      </c>
      <c r="L9" s="16" t="s">
        <v>692</v>
      </c>
      <c r="M9" s="16"/>
      <c r="N9" s="16"/>
      <c r="O9" s="16"/>
      <c r="P9" s="16"/>
      <c r="Q9" s="16"/>
    </row>
    <row r="10" spans="1:17" x14ac:dyDescent="0.3">
      <c r="A10" s="16" t="s">
        <v>635</v>
      </c>
      <c r="B10" s="16" t="s">
        <v>90</v>
      </c>
      <c r="C10" s="16" t="s">
        <v>693</v>
      </c>
      <c r="D10" s="16" t="s">
        <v>694</v>
      </c>
      <c r="E10" s="16" t="s">
        <v>695</v>
      </c>
      <c r="F10" s="16" t="s">
        <v>696</v>
      </c>
      <c r="G10" s="16" t="s">
        <v>697</v>
      </c>
      <c r="H10" s="16">
        <v>1</v>
      </c>
      <c r="I10" s="16" t="s">
        <v>698</v>
      </c>
      <c r="J10" s="16" t="s">
        <v>699</v>
      </c>
      <c r="K10" s="16" t="s">
        <v>700</v>
      </c>
      <c r="L10" s="16" t="s">
        <v>644</v>
      </c>
      <c r="M10" s="16"/>
      <c r="N10" s="16"/>
      <c r="O10" s="16"/>
      <c r="P10" s="16"/>
      <c r="Q10" s="16"/>
    </row>
    <row r="11" spans="1:17" x14ac:dyDescent="0.3">
      <c r="A11" s="16" t="s">
        <v>701</v>
      </c>
      <c r="B11" s="16" t="s">
        <v>91</v>
      </c>
      <c r="C11" s="16" t="s">
        <v>702</v>
      </c>
      <c r="D11" s="16" t="s">
        <v>703</v>
      </c>
      <c r="E11" s="16" t="s">
        <v>704</v>
      </c>
      <c r="F11" s="16" t="s">
        <v>705</v>
      </c>
      <c r="G11" s="16" t="s">
        <v>706</v>
      </c>
      <c r="H11" s="16">
        <v>3</v>
      </c>
      <c r="I11" s="16" t="s">
        <v>707</v>
      </c>
      <c r="J11" s="16" t="s">
        <v>708</v>
      </c>
      <c r="K11" s="16" t="s">
        <v>709</v>
      </c>
      <c r="L11" s="16" t="s">
        <v>677</v>
      </c>
      <c r="M11" s="16"/>
      <c r="N11" s="16"/>
      <c r="O11" s="16"/>
      <c r="P11" s="16"/>
      <c r="Q11" s="16"/>
    </row>
    <row r="12" spans="1:17" x14ac:dyDescent="0.3">
      <c r="A12" s="16" t="s">
        <v>701</v>
      </c>
      <c r="B12" s="16" t="s">
        <v>92</v>
      </c>
      <c r="C12" s="16" t="s">
        <v>710</v>
      </c>
      <c r="D12" s="16" t="s">
        <v>711</v>
      </c>
      <c r="E12" s="16" t="s">
        <v>712</v>
      </c>
      <c r="F12" s="16" t="s">
        <v>713</v>
      </c>
      <c r="G12" s="16" t="s">
        <v>714</v>
      </c>
      <c r="H12" s="16">
        <v>12</v>
      </c>
      <c r="I12" s="16" t="s">
        <v>715</v>
      </c>
      <c r="J12" s="16" t="s">
        <v>716</v>
      </c>
      <c r="K12" s="16" t="s">
        <v>717</v>
      </c>
      <c r="L12" s="16" t="s">
        <v>677</v>
      </c>
      <c r="M12" s="16"/>
      <c r="N12" s="16"/>
      <c r="O12" s="16"/>
      <c r="P12" s="16"/>
      <c r="Q12" s="16"/>
    </row>
    <row r="13" spans="1:17" x14ac:dyDescent="0.3">
      <c r="A13" s="16" t="s">
        <v>701</v>
      </c>
      <c r="B13" s="16" t="s">
        <v>93</v>
      </c>
      <c r="C13" s="16" t="s">
        <v>718</v>
      </c>
      <c r="D13" s="16" t="s">
        <v>719</v>
      </c>
      <c r="E13" s="16" t="s">
        <v>720</v>
      </c>
      <c r="F13" s="16" t="s">
        <v>721</v>
      </c>
      <c r="G13" s="16" t="s">
        <v>722</v>
      </c>
      <c r="H13" s="16">
        <v>4</v>
      </c>
      <c r="I13" s="16" t="s">
        <v>723</v>
      </c>
      <c r="J13" s="16" t="s">
        <v>724</v>
      </c>
      <c r="K13" s="16" t="s">
        <v>725</v>
      </c>
      <c r="L13" s="16" t="s">
        <v>644</v>
      </c>
      <c r="M13" s="16"/>
      <c r="N13" s="16"/>
      <c r="O13" s="16"/>
      <c r="P13" s="16"/>
      <c r="Q13" s="16"/>
    </row>
    <row r="14" spans="1:17" x14ac:dyDescent="0.3">
      <c r="A14" s="16" t="s">
        <v>701</v>
      </c>
      <c r="B14" s="16" t="s">
        <v>94</v>
      </c>
      <c r="C14" s="16" t="s">
        <v>726</v>
      </c>
      <c r="D14" s="16" t="s">
        <v>727</v>
      </c>
      <c r="E14" s="16" t="s">
        <v>728</v>
      </c>
      <c r="F14" s="16" t="s">
        <v>729</v>
      </c>
      <c r="G14" s="16" t="s">
        <v>730</v>
      </c>
      <c r="H14" s="16">
        <v>8</v>
      </c>
      <c r="I14" s="16" t="s">
        <v>731</v>
      </c>
      <c r="J14" s="16" t="s">
        <v>732</v>
      </c>
      <c r="K14" s="16" t="s">
        <v>733</v>
      </c>
      <c r="L14" s="16" t="s">
        <v>644</v>
      </c>
      <c r="M14" s="16"/>
      <c r="N14" s="16"/>
      <c r="O14" s="16"/>
      <c r="P14" s="16"/>
      <c r="Q14" s="16"/>
    </row>
    <row r="15" spans="1:17" x14ac:dyDescent="0.3">
      <c r="A15" s="16" t="s">
        <v>701</v>
      </c>
      <c r="B15" s="16" t="s">
        <v>95</v>
      </c>
      <c r="C15" s="16" t="s">
        <v>734</v>
      </c>
      <c r="D15" s="16" t="s">
        <v>735</v>
      </c>
      <c r="E15" s="16" t="s">
        <v>736</v>
      </c>
      <c r="F15" s="16" t="s">
        <v>737</v>
      </c>
      <c r="G15" s="16" t="s">
        <v>738</v>
      </c>
      <c r="H15" s="16">
        <v>40</v>
      </c>
      <c r="I15" s="16" t="s">
        <v>739</v>
      </c>
      <c r="J15" s="16" t="s">
        <v>740</v>
      </c>
      <c r="K15" s="16" t="s">
        <v>741</v>
      </c>
      <c r="L15" s="16" t="s">
        <v>644</v>
      </c>
      <c r="M15" s="16"/>
      <c r="N15" s="16"/>
      <c r="O15" s="16"/>
      <c r="P15" s="16"/>
      <c r="Q15" s="16"/>
    </row>
    <row r="16" spans="1:17" x14ac:dyDescent="0.3">
      <c r="A16" s="16" t="s">
        <v>701</v>
      </c>
      <c r="B16" s="16" t="s">
        <v>96</v>
      </c>
      <c r="C16" s="16" t="s">
        <v>742</v>
      </c>
      <c r="D16" s="16" t="s">
        <v>743</v>
      </c>
      <c r="E16" s="16" t="s">
        <v>744</v>
      </c>
      <c r="F16" s="16" t="s">
        <v>745</v>
      </c>
      <c r="G16" s="16" t="s">
        <v>746</v>
      </c>
      <c r="H16" s="16">
        <v>40</v>
      </c>
      <c r="I16" s="16" t="s">
        <v>747</v>
      </c>
      <c r="J16" s="16" t="s">
        <v>748</v>
      </c>
      <c r="K16" s="16" t="s">
        <v>749</v>
      </c>
      <c r="L16" s="16" t="s">
        <v>677</v>
      </c>
      <c r="M16" s="16"/>
      <c r="N16" s="16"/>
      <c r="O16" s="16"/>
      <c r="P16" s="16"/>
      <c r="Q16" s="16"/>
    </row>
    <row r="17" spans="1:17" x14ac:dyDescent="0.3">
      <c r="A17" s="16" t="s">
        <v>701</v>
      </c>
      <c r="B17" s="16" t="s">
        <v>97</v>
      </c>
      <c r="C17" s="16" t="s">
        <v>750</v>
      </c>
      <c r="D17" s="16" t="s">
        <v>751</v>
      </c>
      <c r="E17" s="16" t="s">
        <v>752</v>
      </c>
      <c r="F17" s="16" t="s">
        <v>753</v>
      </c>
      <c r="G17" s="16" t="s">
        <v>754</v>
      </c>
      <c r="H17" s="16">
        <v>25</v>
      </c>
      <c r="I17" s="16" t="s">
        <v>755</v>
      </c>
      <c r="J17" s="16" t="s">
        <v>756</v>
      </c>
      <c r="K17" s="16" t="s">
        <v>757</v>
      </c>
      <c r="L17" s="16" t="s">
        <v>644</v>
      </c>
      <c r="M17" s="16"/>
      <c r="N17" s="16"/>
      <c r="O17" s="16"/>
      <c r="P17" s="16"/>
      <c r="Q17" s="16"/>
    </row>
    <row r="18" spans="1:17" x14ac:dyDescent="0.3">
      <c r="A18" s="16" t="s">
        <v>701</v>
      </c>
      <c r="B18" s="16" t="s">
        <v>98</v>
      </c>
      <c r="C18" s="16" t="s">
        <v>758</v>
      </c>
      <c r="D18" s="16" t="s">
        <v>759</v>
      </c>
      <c r="E18" s="16" t="s">
        <v>760</v>
      </c>
      <c r="F18" s="16" t="s">
        <v>761</v>
      </c>
      <c r="G18" s="16" t="s">
        <v>706</v>
      </c>
      <c r="H18" s="16">
        <v>8</v>
      </c>
      <c r="I18" s="16" t="s">
        <v>762</v>
      </c>
      <c r="J18" s="16" t="s">
        <v>763</v>
      </c>
      <c r="K18" s="16" t="s">
        <v>764</v>
      </c>
      <c r="L18" s="16" t="s">
        <v>677</v>
      </c>
      <c r="M18" s="16"/>
      <c r="N18" s="16"/>
      <c r="O18" s="16"/>
      <c r="P18" s="16"/>
      <c r="Q18" s="16"/>
    </row>
    <row r="19" spans="1:17" x14ac:dyDescent="0.3">
      <c r="A19" s="16" t="s">
        <v>701</v>
      </c>
      <c r="B19" s="16" t="s">
        <v>99</v>
      </c>
      <c r="C19" s="16" t="s">
        <v>765</v>
      </c>
      <c r="D19" s="16" t="s">
        <v>766</v>
      </c>
      <c r="E19" s="16" t="s">
        <v>767</v>
      </c>
      <c r="F19" s="16" t="s">
        <v>768</v>
      </c>
      <c r="G19" s="16" t="s">
        <v>730</v>
      </c>
      <c r="H19" s="16">
        <v>2</v>
      </c>
      <c r="I19" s="16" t="s">
        <v>769</v>
      </c>
      <c r="J19" s="16" t="s">
        <v>770</v>
      </c>
      <c r="K19" s="16" t="s">
        <v>771</v>
      </c>
      <c r="L19" s="16" t="s">
        <v>644</v>
      </c>
      <c r="M19" s="16"/>
      <c r="N19" s="16"/>
      <c r="O19" s="16"/>
      <c r="P19" s="16"/>
      <c r="Q19" s="16"/>
    </row>
    <row r="20" spans="1:17" x14ac:dyDescent="0.3">
      <c r="A20" s="16" t="s">
        <v>701</v>
      </c>
      <c r="B20" s="16" t="s">
        <v>100</v>
      </c>
      <c r="C20" s="16" t="s">
        <v>772</v>
      </c>
      <c r="D20" s="16" t="s">
        <v>773</v>
      </c>
      <c r="E20" s="16" t="s">
        <v>774</v>
      </c>
      <c r="F20" s="16" t="s">
        <v>775</v>
      </c>
      <c r="G20" s="16" t="s">
        <v>649</v>
      </c>
      <c r="H20" s="16">
        <v>10</v>
      </c>
      <c r="I20" s="16" t="s">
        <v>776</v>
      </c>
      <c r="J20" s="16" t="s">
        <v>777</v>
      </c>
      <c r="K20" s="16" t="s">
        <v>778</v>
      </c>
      <c r="L20" s="16" t="s">
        <v>644</v>
      </c>
      <c r="M20" s="16"/>
      <c r="N20" s="16"/>
      <c r="O20" s="16"/>
      <c r="P20" s="16"/>
      <c r="Q20" s="16"/>
    </row>
    <row r="21" spans="1:17" x14ac:dyDescent="0.3">
      <c r="A21" s="16" t="s">
        <v>701</v>
      </c>
      <c r="B21" s="16" t="s">
        <v>101</v>
      </c>
      <c r="C21" s="16" t="s">
        <v>779</v>
      </c>
      <c r="D21" s="16" t="s">
        <v>780</v>
      </c>
      <c r="E21" s="16" t="s">
        <v>781</v>
      </c>
      <c r="F21" s="16" t="s">
        <v>782</v>
      </c>
      <c r="G21" s="16" t="s">
        <v>697</v>
      </c>
      <c r="H21" s="16">
        <v>4</v>
      </c>
      <c r="I21" s="16" t="s">
        <v>783</v>
      </c>
      <c r="J21" s="16" t="s">
        <v>784</v>
      </c>
      <c r="K21" s="16" t="s">
        <v>785</v>
      </c>
      <c r="L21" s="16" t="s">
        <v>677</v>
      </c>
      <c r="M21" s="16"/>
      <c r="N21" s="16"/>
      <c r="O21" s="16"/>
      <c r="P21" s="16"/>
      <c r="Q21" s="16"/>
    </row>
    <row r="22" spans="1:17" x14ac:dyDescent="0.3">
      <c r="A22" s="16" t="s">
        <v>701</v>
      </c>
      <c r="B22" s="16" t="s">
        <v>102</v>
      </c>
      <c r="C22" s="16" t="s">
        <v>786</v>
      </c>
      <c r="D22" s="16" t="s">
        <v>787</v>
      </c>
      <c r="E22" s="16" t="s">
        <v>788</v>
      </c>
      <c r="F22" s="16" t="s">
        <v>789</v>
      </c>
      <c r="G22" s="16" t="s">
        <v>790</v>
      </c>
      <c r="H22" s="16">
        <v>3</v>
      </c>
      <c r="I22" s="16" t="s">
        <v>791</v>
      </c>
      <c r="J22" s="16" t="s">
        <v>792</v>
      </c>
      <c r="K22" s="16" t="s">
        <v>793</v>
      </c>
      <c r="L22" s="16" t="s">
        <v>644</v>
      </c>
      <c r="M22" s="16"/>
      <c r="N22" s="16"/>
      <c r="O22" s="16"/>
      <c r="P22" s="16"/>
      <c r="Q22" s="16"/>
    </row>
    <row r="23" spans="1:17" x14ac:dyDescent="0.3">
      <c r="A23" s="16" t="s">
        <v>701</v>
      </c>
      <c r="B23" s="16" t="s">
        <v>103</v>
      </c>
      <c r="C23" s="16" t="s">
        <v>794</v>
      </c>
      <c r="D23" s="16" t="s">
        <v>795</v>
      </c>
      <c r="E23" s="16" t="s">
        <v>796</v>
      </c>
      <c r="F23" s="16" t="s">
        <v>797</v>
      </c>
      <c r="G23" s="16" t="s">
        <v>798</v>
      </c>
      <c r="H23" s="16">
        <v>12</v>
      </c>
      <c r="I23" s="16" t="s">
        <v>799</v>
      </c>
      <c r="J23" s="16" t="s">
        <v>800</v>
      </c>
      <c r="K23" s="16" t="s">
        <v>801</v>
      </c>
      <c r="L23" s="16" t="s">
        <v>644</v>
      </c>
      <c r="M23" s="16"/>
      <c r="N23" s="16"/>
      <c r="O23" s="16"/>
      <c r="P23" s="16"/>
      <c r="Q23" s="16"/>
    </row>
    <row r="24" spans="1:17" x14ac:dyDescent="0.3">
      <c r="A24" s="16" t="s">
        <v>701</v>
      </c>
      <c r="B24" s="16" t="s">
        <v>104</v>
      </c>
      <c r="C24" s="16" t="s">
        <v>802</v>
      </c>
      <c r="D24" s="16" t="s">
        <v>803</v>
      </c>
      <c r="E24" s="16" t="s">
        <v>804</v>
      </c>
      <c r="F24" s="16" t="s">
        <v>805</v>
      </c>
      <c r="G24" s="16" t="s">
        <v>806</v>
      </c>
      <c r="H24" s="16">
        <v>15</v>
      </c>
      <c r="I24" s="16" t="s">
        <v>807</v>
      </c>
      <c r="J24" s="16" t="s">
        <v>808</v>
      </c>
      <c r="K24" s="16" t="s">
        <v>809</v>
      </c>
      <c r="L24" s="16" t="s">
        <v>810</v>
      </c>
      <c r="M24" s="16"/>
      <c r="N24" s="16"/>
      <c r="O24" s="16"/>
      <c r="P24" s="16"/>
      <c r="Q24" s="16"/>
    </row>
    <row r="25" spans="1:17" x14ac:dyDescent="0.3">
      <c r="A25" s="16" t="s">
        <v>701</v>
      </c>
      <c r="B25" s="16" t="s">
        <v>106</v>
      </c>
      <c r="C25" s="16" t="s">
        <v>811</v>
      </c>
      <c r="D25" s="16" t="s">
        <v>812</v>
      </c>
      <c r="E25" s="16" t="s">
        <v>813</v>
      </c>
      <c r="F25" s="16" t="s">
        <v>814</v>
      </c>
      <c r="G25" s="16" t="s">
        <v>730</v>
      </c>
      <c r="H25" s="16">
        <v>8</v>
      </c>
      <c r="I25" s="16" t="s">
        <v>815</v>
      </c>
      <c r="J25" s="16" t="s">
        <v>816</v>
      </c>
      <c r="K25" s="16" t="s">
        <v>817</v>
      </c>
      <c r="L25" s="16" t="s">
        <v>677</v>
      </c>
      <c r="M25" s="16"/>
      <c r="N25" s="16"/>
      <c r="O25" s="16"/>
      <c r="P25" s="16"/>
      <c r="Q25" s="16"/>
    </row>
    <row r="26" spans="1:17" x14ac:dyDescent="0.3">
      <c r="A26" s="16" t="s">
        <v>701</v>
      </c>
      <c r="B26" s="16" t="s">
        <v>107</v>
      </c>
      <c r="C26" s="16" t="s">
        <v>818</v>
      </c>
      <c r="D26" s="16" t="s">
        <v>803</v>
      </c>
      <c r="E26" s="16" t="s">
        <v>819</v>
      </c>
      <c r="F26" s="16" t="s">
        <v>688</v>
      </c>
      <c r="G26" s="16" t="s">
        <v>820</v>
      </c>
      <c r="H26" s="16">
        <v>2</v>
      </c>
      <c r="I26" s="16" t="s">
        <v>821</v>
      </c>
      <c r="J26" s="16" t="s">
        <v>822</v>
      </c>
      <c r="K26" s="16" t="s">
        <v>823</v>
      </c>
      <c r="L26" s="16" t="s">
        <v>692</v>
      </c>
      <c r="M26" s="16"/>
      <c r="N26" s="16"/>
      <c r="O26" s="16"/>
      <c r="P26" s="16"/>
      <c r="Q26" s="16"/>
    </row>
    <row r="27" spans="1:17" x14ac:dyDescent="0.3">
      <c r="A27" s="16" t="s">
        <v>701</v>
      </c>
      <c r="B27" s="16" t="s">
        <v>108</v>
      </c>
      <c r="C27" s="16" t="s">
        <v>824</v>
      </c>
      <c r="D27" s="16" t="s">
        <v>825</v>
      </c>
      <c r="E27" s="16" t="s">
        <v>826</v>
      </c>
      <c r="F27" s="16" t="s">
        <v>827</v>
      </c>
      <c r="G27" s="16" t="s">
        <v>722</v>
      </c>
      <c r="H27" s="16">
        <v>12</v>
      </c>
      <c r="I27" s="16" t="s">
        <v>828</v>
      </c>
      <c r="J27" s="16" t="s">
        <v>829</v>
      </c>
      <c r="K27" s="16" t="s">
        <v>830</v>
      </c>
      <c r="L27" s="16" t="s">
        <v>677</v>
      </c>
      <c r="M27" s="16"/>
      <c r="N27" s="16"/>
      <c r="O27" s="16"/>
      <c r="P27" s="16"/>
      <c r="Q27" s="16"/>
    </row>
    <row r="28" spans="1:17" x14ac:dyDescent="0.3">
      <c r="A28" s="16" t="s">
        <v>701</v>
      </c>
      <c r="B28" s="16" t="s">
        <v>109</v>
      </c>
      <c r="C28" s="16" t="s">
        <v>831</v>
      </c>
      <c r="D28" s="16" t="s">
        <v>832</v>
      </c>
      <c r="E28" s="16" t="s">
        <v>833</v>
      </c>
      <c r="F28" s="16" t="s">
        <v>834</v>
      </c>
      <c r="G28" s="16" t="s">
        <v>754</v>
      </c>
      <c r="H28" s="16">
        <v>10</v>
      </c>
      <c r="I28" s="16" t="s">
        <v>835</v>
      </c>
      <c r="J28" s="16" t="s">
        <v>836</v>
      </c>
      <c r="K28" s="16" t="s">
        <v>837</v>
      </c>
      <c r="L28" s="16" t="s">
        <v>644</v>
      </c>
      <c r="M28" s="16"/>
      <c r="N28" s="16"/>
      <c r="O28" s="16"/>
      <c r="P28" s="16"/>
      <c r="Q28" s="16"/>
    </row>
    <row r="29" spans="1:17" x14ac:dyDescent="0.3">
      <c r="A29" s="16" t="s">
        <v>701</v>
      </c>
      <c r="B29" s="16" t="s">
        <v>110</v>
      </c>
      <c r="C29" s="16" t="s">
        <v>838</v>
      </c>
      <c r="D29" s="16" t="s">
        <v>839</v>
      </c>
      <c r="E29" s="16" t="s">
        <v>840</v>
      </c>
      <c r="F29" s="16" t="s">
        <v>841</v>
      </c>
      <c r="G29" s="16" t="s">
        <v>842</v>
      </c>
      <c r="H29" s="16">
        <v>40</v>
      </c>
      <c r="I29" s="16" t="s">
        <v>843</v>
      </c>
      <c r="J29" s="16" t="s">
        <v>844</v>
      </c>
      <c r="K29" s="16" t="s">
        <v>845</v>
      </c>
      <c r="L29" s="16" t="s">
        <v>846</v>
      </c>
      <c r="M29" s="16"/>
      <c r="N29" s="16"/>
      <c r="O29" s="16"/>
      <c r="P29" s="16"/>
      <c r="Q29" s="16"/>
    </row>
    <row r="30" spans="1:17" x14ac:dyDescent="0.3">
      <c r="A30" s="16" t="s">
        <v>701</v>
      </c>
      <c r="B30" s="16" t="s">
        <v>112</v>
      </c>
      <c r="C30" s="16" t="s">
        <v>847</v>
      </c>
      <c r="D30" s="16" t="s">
        <v>751</v>
      </c>
      <c r="E30" s="16" t="s">
        <v>848</v>
      </c>
      <c r="F30" s="16" t="s">
        <v>849</v>
      </c>
      <c r="G30" s="16" t="s">
        <v>754</v>
      </c>
      <c r="H30" s="16">
        <v>20</v>
      </c>
      <c r="I30" s="16" t="s">
        <v>850</v>
      </c>
      <c r="J30" s="16" t="s">
        <v>851</v>
      </c>
      <c r="K30" s="16" t="s">
        <v>852</v>
      </c>
      <c r="L30" s="16" t="s">
        <v>644</v>
      </c>
      <c r="M30" s="16"/>
      <c r="N30" s="16"/>
      <c r="O30" s="16"/>
      <c r="P30" s="16"/>
      <c r="Q30" s="16"/>
    </row>
    <row r="31" spans="1:17" x14ac:dyDescent="0.3">
      <c r="A31" s="16" t="s">
        <v>701</v>
      </c>
      <c r="B31" s="16" t="s">
        <v>113</v>
      </c>
      <c r="C31" s="16" t="s">
        <v>853</v>
      </c>
      <c r="D31" s="16" t="s">
        <v>854</v>
      </c>
      <c r="E31" s="16" t="s">
        <v>855</v>
      </c>
      <c r="F31" s="16" t="s">
        <v>856</v>
      </c>
      <c r="G31" s="16" t="s">
        <v>738</v>
      </c>
      <c r="H31" s="16">
        <v>15</v>
      </c>
      <c r="I31" s="16" t="s">
        <v>857</v>
      </c>
      <c r="J31" s="16" t="s">
        <v>858</v>
      </c>
      <c r="K31" s="16" t="s">
        <v>859</v>
      </c>
      <c r="L31" s="16" t="s">
        <v>677</v>
      </c>
      <c r="M31" s="16"/>
      <c r="N31" s="16"/>
      <c r="O31" s="16"/>
      <c r="P31" s="16"/>
      <c r="Q31" s="16"/>
    </row>
    <row r="32" spans="1:17" x14ac:dyDescent="0.3">
      <c r="A32" s="16" t="s">
        <v>860</v>
      </c>
      <c r="B32" s="16" t="s">
        <v>115</v>
      </c>
      <c r="C32" s="16" t="s">
        <v>861</v>
      </c>
      <c r="D32" s="16" t="s">
        <v>862</v>
      </c>
      <c r="E32" s="16" t="s">
        <v>863</v>
      </c>
      <c r="F32" s="16" t="s">
        <v>864</v>
      </c>
      <c r="G32" s="16" t="s">
        <v>865</v>
      </c>
      <c r="H32" s="16">
        <v>8</v>
      </c>
      <c r="I32" s="16" t="s">
        <v>866</v>
      </c>
      <c r="J32" s="16" t="s">
        <v>867</v>
      </c>
      <c r="K32" s="16" t="s">
        <v>868</v>
      </c>
      <c r="L32" s="16" t="s">
        <v>644</v>
      </c>
      <c r="M32" s="16"/>
      <c r="N32" s="16"/>
      <c r="O32" s="16"/>
      <c r="P32" s="16"/>
      <c r="Q32" s="16"/>
    </row>
    <row r="33" spans="1:17" x14ac:dyDescent="0.3">
      <c r="A33" s="16" t="s">
        <v>860</v>
      </c>
      <c r="B33" s="16" t="s">
        <v>117</v>
      </c>
      <c r="C33" s="16" t="s">
        <v>869</v>
      </c>
      <c r="D33" s="16" t="s">
        <v>870</v>
      </c>
      <c r="E33" s="16" t="s">
        <v>871</v>
      </c>
      <c r="F33" s="16" t="s">
        <v>872</v>
      </c>
      <c r="G33" s="16" t="s">
        <v>873</v>
      </c>
      <c r="H33" s="16">
        <v>5</v>
      </c>
      <c r="I33" s="16" t="s">
        <v>874</v>
      </c>
      <c r="J33" s="16" t="s">
        <v>875</v>
      </c>
      <c r="K33" s="16" t="s">
        <v>876</v>
      </c>
      <c r="L33" s="16" t="s">
        <v>644</v>
      </c>
      <c r="M33" s="16"/>
      <c r="N33" s="16"/>
      <c r="O33" s="16"/>
      <c r="P33" s="16"/>
      <c r="Q33" s="16"/>
    </row>
    <row r="34" spans="1:17" x14ac:dyDescent="0.3">
      <c r="A34" s="16" t="s">
        <v>860</v>
      </c>
      <c r="B34" s="16" t="s">
        <v>118</v>
      </c>
      <c r="C34" s="16" t="s">
        <v>877</v>
      </c>
      <c r="D34" s="16" t="s">
        <v>878</v>
      </c>
      <c r="E34" s="16" t="s">
        <v>879</v>
      </c>
      <c r="F34" s="16" t="s">
        <v>880</v>
      </c>
      <c r="G34" s="16" t="s">
        <v>865</v>
      </c>
      <c r="H34" s="16">
        <v>10</v>
      </c>
      <c r="I34" s="16" t="s">
        <v>881</v>
      </c>
      <c r="J34" s="16" t="s">
        <v>882</v>
      </c>
      <c r="K34" s="16" t="s">
        <v>883</v>
      </c>
      <c r="L34" s="16" t="s">
        <v>644</v>
      </c>
      <c r="M34" s="16"/>
      <c r="N34" s="16"/>
      <c r="O34" s="16"/>
      <c r="P34" s="16"/>
      <c r="Q34" s="16"/>
    </row>
    <row r="35" spans="1:17" x14ac:dyDescent="0.3">
      <c r="A35" s="16" t="s">
        <v>860</v>
      </c>
      <c r="B35" s="16" t="s">
        <v>120</v>
      </c>
      <c r="C35" s="16" t="s">
        <v>884</v>
      </c>
      <c r="D35" s="16" t="s">
        <v>885</v>
      </c>
      <c r="E35" s="16" t="s">
        <v>886</v>
      </c>
      <c r="F35" s="16" t="s">
        <v>887</v>
      </c>
      <c r="G35" s="16" t="s">
        <v>888</v>
      </c>
      <c r="H35" s="16">
        <v>8</v>
      </c>
      <c r="I35" s="16" t="s">
        <v>889</v>
      </c>
      <c r="J35" s="16" t="s">
        <v>890</v>
      </c>
      <c r="K35" s="16" t="s">
        <v>891</v>
      </c>
      <c r="L35" s="16" t="s">
        <v>677</v>
      </c>
      <c r="M35" s="16"/>
      <c r="N35" s="16"/>
      <c r="O35" s="16"/>
      <c r="P35" s="16"/>
      <c r="Q35" s="16"/>
    </row>
    <row r="36" spans="1:17" x14ac:dyDescent="0.3">
      <c r="A36" s="16" t="s">
        <v>860</v>
      </c>
      <c r="B36" s="16" t="s">
        <v>121</v>
      </c>
      <c r="C36" s="16" t="s">
        <v>892</v>
      </c>
      <c r="D36" s="16" t="s">
        <v>893</v>
      </c>
      <c r="E36" s="16" t="s">
        <v>894</v>
      </c>
      <c r="F36" s="16" t="s">
        <v>895</v>
      </c>
      <c r="G36" s="16" t="s">
        <v>790</v>
      </c>
      <c r="H36" s="16">
        <v>4</v>
      </c>
      <c r="I36" s="16" t="s">
        <v>896</v>
      </c>
      <c r="J36" s="16" t="s">
        <v>897</v>
      </c>
      <c r="K36" s="16" t="s">
        <v>898</v>
      </c>
      <c r="L36" s="16" t="s">
        <v>644</v>
      </c>
      <c r="M36" s="16"/>
      <c r="N36" s="16"/>
      <c r="O36" s="16"/>
      <c r="P36" s="16"/>
      <c r="Q36" s="16"/>
    </row>
    <row r="37" spans="1:17" x14ac:dyDescent="0.3">
      <c r="A37" s="16" t="s">
        <v>860</v>
      </c>
      <c r="B37" s="16" t="s">
        <v>122</v>
      </c>
      <c r="C37" s="16" t="s">
        <v>899</v>
      </c>
      <c r="D37" s="16" t="s">
        <v>900</v>
      </c>
      <c r="E37" s="16" t="s">
        <v>901</v>
      </c>
      <c r="F37" s="16" t="s">
        <v>902</v>
      </c>
      <c r="G37" s="16" t="s">
        <v>738</v>
      </c>
      <c r="H37" s="16">
        <v>6</v>
      </c>
      <c r="I37" s="16" t="s">
        <v>903</v>
      </c>
      <c r="J37" s="16" t="s">
        <v>904</v>
      </c>
      <c r="K37" s="16" t="s">
        <v>905</v>
      </c>
      <c r="L37" s="16" t="s">
        <v>644</v>
      </c>
      <c r="M37" s="16"/>
      <c r="N37" s="16"/>
      <c r="O37" s="16"/>
      <c r="P37" s="16"/>
      <c r="Q37" s="16"/>
    </row>
    <row r="38" spans="1:17" x14ac:dyDescent="0.3">
      <c r="A38" s="16" t="s">
        <v>860</v>
      </c>
      <c r="B38" s="16" t="s">
        <v>123</v>
      </c>
      <c r="C38" s="16" t="s">
        <v>906</v>
      </c>
      <c r="D38" s="16" t="s">
        <v>907</v>
      </c>
      <c r="E38" s="16" t="s">
        <v>908</v>
      </c>
      <c r="F38" s="16" t="s">
        <v>909</v>
      </c>
      <c r="G38" s="16" t="s">
        <v>910</v>
      </c>
      <c r="H38" s="16">
        <v>5</v>
      </c>
      <c r="I38" s="16" t="s">
        <v>911</v>
      </c>
      <c r="J38" s="16" t="s">
        <v>912</v>
      </c>
      <c r="K38" s="16" t="s">
        <v>913</v>
      </c>
      <c r="L38" s="16" t="s">
        <v>644</v>
      </c>
      <c r="M38" s="16"/>
      <c r="N38" s="16"/>
      <c r="O38" s="16"/>
      <c r="P38" s="16"/>
      <c r="Q38" s="16"/>
    </row>
    <row r="39" spans="1:17" x14ac:dyDescent="0.3">
      <c r="A39" s="16" t="s">
        <v>860</v>
      </c>
      <c r="B39" s="16" t="s">
        <v>124</v>
      </c>
      <c r="C39" s="16" t="s">
        <v>914</v>
      </c>
      <c r="D39" s="16" t="s">
        <v>915</v>
      </c>
      <c r="E39" s="16" t="s">
        <v>916</v>
      </c>
      <c r="F39" s="16" t="s">
        <v>917</v>
      </c>
      <c r="G39" s="16" t="s">
        <v>918</v>
      </c>
      <c r="H39" s="16">
        <v>4</v>
      </c>
      <c r="I39" s="16" t="s">
        <v>919</v>
      </c>
      <c r="J39" s="16" t="s">
        <v>920</v>
      </c>
      <c r="K39" s="16" t="s">
        <v>921</v>
      </c>
      <c r="L39" s="16" t="s">
        <v>644</v>
      </c>
      <c r="M39" s="16"/>
      <c r="N39" s="16"/>
      <c r="O39" s="16"/>
      <c r="P39" s="16"/>
      <c r="Q39" s="16"/>
    </row>
    <row r="40" spans="1:17" x14ac:dyDescent="0.3">
      <c r="A40" s="16" t="s">
        <v>860</v>
      </c>
      <c r="B40" s="16" t="s">
        <v>125</v>
      </c>
      <c r="C40" s="16" t="s">
        <v>922</v>
      </c>
      <c r="D40" s="16" t="s">
        <v>923</v>
      </c>
      <c r="E40" s="16" t="s">
        <v>924</v>
      </c>
      <c r="F40" s="16" t="s">
        <v>925</v>
      </c>
      <c r="G40" s="16" t="s">
        <v>790</v>
      </c>
      <c r="H40" s="16">
        <v>6</v>
      </c>
      <c r="I40" s="16" t="s">
        <v>926</v>
      </c>
      <c r="J40" s="16" t="s">
        <v>927</v>
      </c>
      <c r="K40" s="16" t="s">
        <v>928</v>
      </c>
      <c r="L40" s="16" t="s">
        <v>644</v>
      </c>
      <c r="M40" s="16"/>
      <c r="N40" s="16"/>
      <c r="O40" s="16"/>
      <c r="P40" s="16"/>
      <c r="Q40" s="16"/>
    </row>
    <row r="41" spans="1:17" x14ac:dyDescent="0.3">
      <c r="A41" s="16" t="s">
        <v>929</v>
      </c>
      <c r="B41" s="16" t="s">
        <v>126</v>
      </c>
      <c r="C41" s="16" t="s">
        <v>930</v>
      </c>
      <c r="D41" s="16" t="s">
        <v>931</v>
      </c>
      <c r="E41" s="16" t="s">
        <v>932</v>
      </c>
      <c r="F41" s="16" t="s">
        <v>688</v>
      </c>
      <c r="G41" s="16" t="s">
        <v>933</v>
      </c>
      <c r="H41" s="16">
        <v>15</v>
      </c>
      <c r="I41" s="16" t="s">
        <v>934</v>
      </c>
      <c r="J41" s="16" t="s">
        <v>935</v>
      </c>
      <c r="K41" s="16" t="s">
        <v>936</v>
      </c>
      <c r="L41" s="16" t="s">
        <v>692</v>
      </c>
      <c r="M41" s="16"/>
      <c r="N41" s="16"/>
      <c r="O41" s="16"/>
      <c r="P41" s="16"/>
      <c r="Q41" s="16"/>
    </row>
    <row r="42" spans="1:17" x14ac:dyDescent="0.3">
      <c r="A42" s="16" t="s">
        <v>929</v>
      </c>
      <c r="B42" s="16" t="s">
        <v>127</v>
      </c>
      <c r="C42" s="16" t="s">
        <v>937</v>
      </c>
      <c r="D42" s="16" t="s">
        <v>938</v>
      </c>
      <c r="E42" s="16" t="s">
        <v>939</v>
      </c>
      <c r="F42" s="16" t="s">
        <v>940</v>
      </c>
      <c r="G42" s="16" t="s">
        <v>640</v>
      </c>
      <c r="H42" s="16">
        <v>20</v>
      </c>
      <c r="I42" s="16" t="s">
        <v>941</v>
      </c>
      <c r="J42" s="16" t="s">
        <v>942</v>
      </c>
      <c r="K42" s="16" t="s">
        <v>943</v>
      </c>
      <c r="L42" s="16" t="s">
        <v>644</v>
      </c>
      <c r="M42" s="16"/>
      <c r="N42" s="16"/>
      <c r="O42" s="16"/>
      <c r="P42" s="16"/>
      <c r="Q42" s="16"/>
    </row>
    <row r="43" spans="1:17" x14ac:dyDescent="0.3">
      <c r="A43" s="16" t="s">
        <v>929</v>
      </c>
      <c r="B43" s="16" t="s">
        <v>128</v>
      </c>
      <c r="C43" s="16" t="s">
        <v>944</v>
      </c>
      <c r="D43" s="16" t="s">
        <v>945</v>
      </c>
      <c r="E43" s="16" t="s">
        <v>946</v>
      </c>
      <c r="F43" s="16" t="s">
        <v>947</v>
      </c>
      <c r="G43" s="16" t="s">
        <v>730</v>
      </c>
      <c r="H43" s="16">
        <v>35</v>
      </c>
      <c r="I43" s="16" t="s">
        <v>948</v>
      </c>
      <c r="J43" s="16" t="s">
        <v>949</v>
      </c>
      <c r="K43" s="16" t="s">
        <v>950</v>
      </c>
      <c r="L43" s="16" t="s">
        <v>644</v>
      </c>
      <c r="M43" s="16"/>
      <c r="N43" s="16"/>
      <c r="O43" s="16"/>
      <c r="P43" s="16"/>
      <c r="Q43" s="16"/>
    </row>
    <row r="44" spans="1:17" x14ac:dyDescent="0.3">
      <c r="A44" s="16" t="s">
        <v>929</v>
      </c>
      <c r="B44" s="16" t="s">
        <v>129</v>
      </c>
      <c r="C44" s="16" t="s">
        <v>944</v>
      </c>
      <c r="D44" s="16" t="s">
        <v>945</v>
      </c>
      <c r="E44" s="16" t="s">
        <v>951</v>
      </c>
      <c r="F44" s="16" t="s">
        <v>952</v>
      </c>
      <c r="G44" s="16" t="s">
        <v>730</v>
      </c>
      <c r="H44" s="16">
        <v>30</v>
      </c>
      <c r="I44" s="16" t="s">
        <v>953</v>
      </c>
      <c r="J44" s="16" t="s">
        <v>954</v>
      </c>
      <c r="K44" s="16" t="s">
        <v>955</v>
      </c>
      <c r="L44" s="16" t="s">
        <v>644</v>
      </c>
      <c r="M44" s="16"/>
      <c r="N44" s="16"/>
      <c r="O44" s="16"/>
      <c r="P44" s="16"/>
      <c r="Q44" s="16"/>
    </row>
    <row r="45" spans="1:17" x14ac:dyDescent="0.3">
      <c r="A45" s="16" t="s">
        <v>929</v>
      </c>
      <c r="B45" s="16" t="s">
        <v>130</v>
      </c>
      <c r="C45" s="16" t="s">
        <v>956</v>
      </c>
      <c r="D45" s="16" t="s">
        <v>957</v>
      </c>
      <c r="E45" s="16" t="s">
        <v>958</v>
      </c>
      <c r="F45" s="16" t="s">
        <v>959</v>
      </c>
      <c r="G45" s="16" t="s">
        <v>738</v>
      </c>
      <c r="H45" s="16">
        <v>25</v>
      </c>
      <c r="I45" s="16" t="s">
        <v>960</v>
      </c>
      <c r="J45" s="16" t="s">
        <v>961</v>
      </c>
      <c r="K45" s="16" t="s">
        <v>962</v>
      </c>
      <c r="L45" s="16" t="s">
        <v>644</v>
      </c>
      <c r="M45" s="16"/>
      <c r="N45" s="16"/>
      <c r="O45" s="16"/>
      <c r="P45" s="16"/>
      <c r="Q45" s="16"/>
    </row>
    <row r="46" spans="1:17" x14ac:dyDescent="0.3">
      <c r="A46" s="16" t="s">
        <v>929</v>
      </c>
      <c r="B46" s="16" t="s">
        <v>131</v>
      </c>
      <c r="C46" s="16" t="s">
        <v>963</v>
      </c>
      <c r="D46" s="16" t="s">
        <v>964</v>
      </c>
      <c r="E46" s="16" t="s">
        <v>965</v>
      </c>
      <c r="F46" s="16" t="s">
        <v>966</v>
      </c>
      <c r="G46" s="16" t="s">
        <v>967</v>
      </c>
      <c r="H46" s="16">
        <v>35</v>
      </c>
      <c r="I46" s="16" t="s">
        <v>968</v>
      </c>
      <c r="J46" s="16" t="s">
        <v>969</v>
      </c>
      <c r="K46" s="16" t="s">
        <v>970</v>
      </c>
      <c r="L46" s="16" t="s">
        <v>677</v>
      </c>
      <c r="M46" s="16"/>
      <c r="N46" s="16"/>
      <c r="O46" s="16"/>
      <c r="P46" s="16"/>
      <c r="Q46" s="16"/>
    </row>
    <row r="47" spans="1:17" x14ac:dyDescent="0.3">
      <c r="A47" s="16" t="s">
        <v>929</v>
      </c>
      <c r="B47" s="16" t="s">
        <v>132</v>
      </c>
      <c r="C47" s="16" t="s">
        <v>971</v>
      </c>
      <c r="D47" s="16" t="s">
        <v>972</v>
      </c>
      <c r="E47" s="16" t="s">
        <v>973</v>
      </c>
      <c r="F47" s="16" t="s">
        <v>974</v>
      </c>
      <c r="G47" s="16" t="s">
        <v>730</v>
      </c>
      <c r="H47" s="16">
        <v>10</v>
      </c>
      <c r="I47" s="16" t="s">
        <v>975</v>
      </c>
      <c r="J47" s="16" t="s">
        <v>976</v>
      </c>
      <c r="K47" s="16" t="s">
        <v>977</v>
      </c>
      <c r="L47" s="16" t="s">
        <v>644</v>
      </c>
      <c r="M47" s="16"/>
      <c r="N47" s="16"/>
      <c r="O47" s="16"/>
      <c r="P47" s="16"/>
      <c r="Q47" s="16"/>
    </row>
    <row r="48" spans="1:17" x14ac:dyDescent="0.3">
      <c r="A48" s="16" t="s">
        <v>929</v>
      </c>
      <c r="B48" s="16" t="s">
        <v>133</v>
      </c>
      <c r="C48" s="16" t="s">
        <v>978</v>
      </c>
      <c r="D48" s="16" t="s">
        <v>979</v>
      </c>
      <c r="E48" s="16" t="s">
        <v>980</v>
      </c>
      <c r="F48" s="16" t="s">
        <v>981</v>
      </c>
      <c r="G48" s="16" t="s">
        <v>649</v>
      </c>
      <c r="H48" s="16">
        <v>20</v>
      </c>
      <c r="I48" s="16" t="s">
        <v>982</v>
      </c>
      <c r="J48" s="16" t="s">
        <v>983</v>
      </c>
      <c r="K48" s="16" t="s">
        <v>984</v>
      </c>
      <c r="L48" s="16" t="s">
        <v>677</v>
      </c>
      <c r="M48" s="16"/>
      <c r="N48" s="16"/>
      <c r="O48" s="16"/>
      <c r="P48" s="16"/>
      <c r="Q48" s="16"/>
    </row>
    <row r="49" spans="1:17" x14ac:dyDescent="0.3">
      <c r="A49" s="16" t="s">
        <v>929</v>
      </c>
      <c r="B49" s="16" t="s">
        <v>134</v>
      </c>
      <c r="C49" s="16" t="s">
        <v>978</v>
      </c>
      <c r="D49" s="16" t="s">
        <v>957</v>
      </c>
      <c r="E49" s="16" t="s">
        <v>985</v>
      </c>
      <c r="F49" s="16" t="s">
        <v>986</v>
      </c>
      <c r="G49" s="16" t="s">
        <v>738</v>
      </c>
      <c r="H49" s="16">
        <v>20</v>
      </c>
      <c r="I49" s="16" t="s">
        <v>987</v>
      </c>
      <c r="J49" s="16" t="s">
        <v>988</v>
      </c>
      <c r="K49" s="16" t="s">
        <v>989</v>
      </c>
      <c r="L49" s="16" t="s">
        <v>644</v>
      </c>
      <c r="M49" s="16"/>
      <c r="N49" s="16"/>
      <c r="O49" s="16"/>
      <c r="P49" s="16"/>
      <c r="Q49" s="16"/>
    </row>
    <row r="50" spans="1:17" x14ac:dyDescent="0.3">
      <c r="A50" s="16" t="s">
        <v>929</v>
      </c>
      <c r="B50" s="16" t="s">
        <v>135</v>
      </c>
      <c r="C50" s="16" t="s">
        <v>990</v>
      </c>
      <c r="D50" s="16" t="s">
        <v>991</v>
      </c>
      <c r="E50" s="16" t="s">
        <v>992</v>
      </c>
      <c r="F50" s="16" t="s">
        <v>993</v>
      </c>
      <c r="G50" s="16" t="s">
        <v>994</v>
      </c>
      <c r="H50" s="16">
        <v>35</v>
      </c>
      <c r="I50" s="16" t="s">
        <v>995</v>
      </c>
      <c r="J50" s="16" t="s">
        <v>996</v>
      </c>
      <c r="K50" s="16" t="s">
        <v>997</v>
      </c>
      <c r="L50" s="16" t="s">
        <v>644</v>
      </c>
      <c r="M50" s="16"/>
      <c r="N50" s="16"/>
      <c r="O50" s="16"/>
      <c r="P50" s="16"/>
      <c r="Q50" s="16"/>
    </row>
    <row r="51" spans="1:17" x14ac:dyDescent="0.3">
      <c r="A51" s="16" t="s">
        <v>929</v>
      </c>
      <c r="B51" s="16" t="s">
        <v>136</v>
      </c>
      <c r="C51" s="16" t="s">
        <v>998</v>
      </c>
      <c r="D51" s="16" t="s">
        <v>999</v>
      </c>
      <c r="E51" s="16" t="s">
        <v>1000</v>
      </c>
      <c r="F51" s="16" t="s">
        <v>1001</v>
      </c>
      <c r="G51" s="16" t="s">
        <v>697</v>
      </c>
      <c r="H51" s="16">
        <v>25</v>
      </c>
      <c r="I51" s="16" t="s">
        <v>1002</v>
      </c>
      <c r="J51" s="16" t="s">
        <v>1003</v>
      </c>
      <c r="K51" s="16" t="s">
        <v>1004</v>
      </c>
      <c r="L51" s="16" t="s">
        <v>677</v>
      </c>
      <c r="M51" s="16"/>
      <c r="N51" s="16"/>
      <c r="O51" s="16"/>
      <c r="P51" s="16"/>
      <c r="Q51" s="16"/>
    </row>
    <row r="52" spans="1:17" x14ac:dyDescent="0.3">
      <c r="A52" s="16" t="s">
        <v>929</v>
      </c>
      <c r="B52" s="16" t="s">
        <v>137</v>
      </c>
      <c r="C52" s="16" t="s">
        <v>1005</v>
      </c>
      <c r="D52" s="16" t="s">
        <v>1006</v>
      </c>
      <c r="E52" s="16" t="s">
        <v>1007</v>
      </c>
      <c r="F52" s="16" t="s">
        <v>1008</v>
      </c>
      <c r="G52" s="16" t="s">
        <v>697</v>
      </c>
      <c r="H52" s="16">
        <v>3</v>
      </c>
      <c r="I52" s="16" t="s">
        <v>1009</v>
      </c>
      <c r="J52" s="16" t="s">
        <v>1010</v>
      </c>
      <c r="K52" s="16" t="s">
        <v>1011</v>
      </c>
      <c r="L52" s="16" t="s">
        <v>692</v>
      </c>
      <c r="M52" s="16"/>
      <c r="N52" s="16"/>
      <c r="O52" s="16"/>
      <c r="P52" s="16"/>
      <c r="Q52" s="16"/>
    </row>
    <row r="53" spans="1:17" x14ac:dyDescent="0.3">
      <c r="A53" s="16" t="s">
        <v>929</v>
      </c>
      <c r="B53" s="16" t="s">
        <v>138</v>
      </c>
      <c r="C53" s="16" t="s">
        <v>1012</v>
      </c>
      <c r="D53" s="16" t="s">
        <v>1013</v>
      </c>
      <c r="E53" s="16" t="s">
        <v>1014</v>
      </c>
      <c r="F53" s="16" t="s">
        <v>1015</v>
      </c>
      <c r="G53" s="16" t="s">
        <v>649</v>
      </c>
      <c r="H53" s="16">
        <v>5</v>
      </c>
      <c r="I53" s="16" t="s">
        <v>1016</v>
      </c>
      <c r="J53" s="16" t="s">
        <v>1017</v>
      </c>
      <c r="K53" s="16" t="s">
        <v>1018</v>
      </c>
      <c r="L53" s="16" t="s">
        <v>692</v>
      </c>
      <c r="M53" s="16"/>
      <c r="N53" s="16"/>
      <c r="O53" s="16"/>
      <c r="P53" s="16"/>
      <c r="Q53" s="16"/>
    </row>
    <row r="54" spans="1:17" x14ac:dyDescent="0.3">
      <c r="A54" s="16" t="s">
        <v>929</v>
      </c>
      <c r="B54" s="16" t="s">
        <v>139</v>
      </c>
      <c r="C54" s="16" t="s">
        <v>1019</v>
      </c>
      <c r="D54" s="16" t="s">
        <v>931</v>
      </c>
      <c r="E54" s="16" t="s">
        <v>1020</v>
      </c>
      <c r="F54" s="16" t="s">
        <v>1021</v>
      </c>
      <c r="G54" s="16" t="s">
        <v>1022</v>
      </c>
      <c r="H54" s="16">
        <v>10</v>
      </c>
      <c r="I54" s="16" t="s">
        <v>1023</v>
      </c>
      <c r="J54" s="16" t="s">
        <v>1024</v>
      </c>
      <c r="K54" s="16" t="s">
        <v>1025</v>
      </c>
      <c r="L54" s="16" t="s">
        <v>692</v>
      </c>
      <c r="M54" s="16"/>
      <c r="N54" s="16"/>
      <c r="O54" s="16"/>
      <c r="P54" s="16"/>
      <c r="Q54" s="16"/>
    </row>
    <row r="55" spans="1:17" x14ac:dyDescent="0.3">
      <c r="A55" s="16" t="s">
        <v>929</v>
      </c>
      <c r="B55" s="16" t="s">
        <v>140</v>
      </c>
      <c r="C55" s="16" t="s">
        <v>1026</v>
      </c>
      <c r="D55" s="16" t="s">
        <v>1027</v>
      </c>
      <c r="E55" s="16" t="s">
        <v>1028</v>
      </c>
      <c r="F55" s="16" t="s">
        <v>1029</v>
      </c>
      <c r="G55" s="16" t="s">
        <v>722</v>
      </c>
      <c r="H55" s="16">
        <v>15</v>
      </c>
      <c r="I55" s="16" t="s">
        <v>1030</v>
      </c>
      <c r="J55" s="16" t="s">
        <v>1031</v>
      </c>
      <c r="K55" s="16" t="s">
        <v>1032</v>
      </c>
      <c r="L55" s="16" t="s">
        <v>644</v>
      </c>
      <c r="M55" s="16"/>
      <c r="N55" s="16"/>
      <c r="O55" s="16"/>
      <c r="P55" s="16"/>
      <c r="Q55" s="16"/>
    </row>
    <row r="56" spans="1:17" x14ac:dyDescent="0.3">
      <c r="A56" s="16" t="s">
        <v>1033</v>
      </c>
      <c r="B56" s="16" t="s">
        <v>141</v>
      </c>
      <c r="C56" s="16" t="s">
        <v>1034</v>
      </c>
      <c r="D56" s="16" t="s">
        <v>1035</v>
      </c>
      <c r="E56" s="16" t="s">
        <v>1036</v>
      </c>
      <c r="F56" s="16" t="s">
        <v>1037</v>
      </c>
      <c r="G56" s="16" t="s">
        <v>873</v>
      </c>
      <c r="H56" s="16">
        <v>8</v>
      </c>
      <c r="I56" s="16" t="s">
        <v>1038</v>
      </c>
      <c r="J56" s="16" t="s">
        <v>1039</v>
      </c>
      <c r="K56" s="16" t="s">
        <v>1040</v>
      </c>
      <c r="L56" s="16" t="s">
        <v>644</v>
      </c>
      <c r="M56" s="16"/>
      <c r="N56" s="16"/>
      <c r="O56" s="16"/>
      <c r="P56" s="16"/>
      <c r="Q56" s="16"/>
    </row>
    <row r="57" spans="1:17" x14ac:dyDescent="0.3">
      <c r="A57" s="16" t="s">
        <v>1033</v>
      </c>
      <c r="B57" s="16" t="s">
        <v>143</v>
      </c>
      <c r="C57" s="16" t="s">
        <v>1034</v>
      </c>
      <c r="D57" s="16" t="s">
        <v>1041</v>
      </c>
      <c r="E57" s="16" t="s">
        <v>1042</v>
      </c>
      <c r="F57" s="16" t="s">
        <v>1043</v>
      </c>
      <c r="G57" s="16" t="s">
        <v>1044</v>
      </c>
      <c r="H57" s="16">
        <v>10</v>
      </c>
      <c r="I57" s="16" t="s">
        <v>1045</v>
      </c>
      <c r="J57" s="16" t="s">
        <v>1046</v>
      </c>
      <c r="K57" s="16" t="s">
        <v>1047</v>
      </c>
      <c r="L57" s="16" t="s">
        <v>677</v>
      </c>
      <c r="M57" s="16"/>
      <c r="N57" s="16"/>
      <c r="O57" s="16"/>
      <c r="P57" s="16"/>
      <c r="Q57" s="16"/>
    </row>
    <row r="58" spans="1:17" x14ac:dyDescent="0.3">
      <c r="A58" s="16" t="s">
        <v>1033</v>
      </c>
      <c r="B58" s="16" t="s">
        <v>144</v>
      </c>
      <c r="C58" s="16" t="s">
        <v>1048</v>
      </c>
      <c r="D58" s="16" t="s">
        <v>1049</v>
      </c>
      <c r="E58" s="16" t="s">
        <v>1050</v>
      </c>
      <c r="F58" s="16" t="s">
        <v>1051</v>
      </c>
      <c r="G58" s="16" t="s">
        <v>1052</v>
      </c>
      <c r="H58" s="16">
        <v>5</v>
      </c>
      <c r="I58" s="16" t="s">
        <v>1053</v>
      </c>
      <c r="J58" s="16" t="s">
        <v>1054</v>
      </c>
      <c r="K58" s="16" t="s">
        <v>1055</v>
      </c>
      <c r="L58" s="16" t="s">
        <v>644</v>
      </c>
      <c r="M58" s="16"/>
      <c r="N58" s="16"/>
      <c r="O58" s="16"/>
      <c r="P58" s="16"/>
      <c r="Q58" s="16"/>
    </row>
    <row r="59" spans="1:17" x14ac:dyDescent="0.3">
      <c r="A59" s="16" t="s">
        <v>1033</v>
      </c>
      <c r="B59" s="16" t="s">
        <v>145</v>
      </c>
      <c r="C59" s="16" t="s">
        <v>1048</v>
      </c>
      <c r="D59" s="16" t="s">
        <v>1056</v>
      </c>
      <c r="E59" s="16" t="s">
        <v>1057</v>
      </c>
      <c r="F59" s="16" t="s">
        <v>1043</v>
      </c>
      <c r="G59" s="16" t="s">
        <v>640</v>
      </c>
      <c r="H59" s="16">
        <v>12</v>
      </c>
      <c r="I59" s="16" t="s">
        <v>1058</v>
      </c>
      <c r="J59" s="16" t="s">
        <v>1059</v>
      </c>
      <c r="K59" s="16" t="s">
        <v>1060</v>
      </c>
      <c r="L59" s="16" t="s">
        <v>677</v>
      </c>
      <c r="M59" s="16"/>
      <c r="N59" s="16"/>
      <c r="O59" s="16"/>
      <c r="P59" s="16"/>
      <c r="Q59" s="16"/>
    </row>
    <row r="60" spans="1:17" x14ac:dyDescent="0.3">
      <c r="A60" s="16" t="s">
        <v>1033</v>
      </c>
      <c r="B60" s="16" t="s">
        <v>146</v>
      </c>
      <c r="C60" s="16" t="s">
        <v>1061</v>
      </c>
      <c r="D60" s="16" t="s">
        <v>1062</v>
      </c>
      <c r="E60" s="16" t="s">
        <v>1063</v>
      </c>
      <c r="F60" s="16" t="s">
        <v>887</v>
      </c>
      <c r="G60" s="16" t="s">
        <v>842</v>
      </c>
      <c r="H60" s="16">
        <v>6</v>
      </c>
      <c r="I60" s="16" t="s">
        <v>1064</v>
      </c>
      <c r="J60" s="16" t="s">
        <v>1065</v>
      </c>
      <c r="K60" s="16" t="s">
        <v>1066</v>
      </c>
      <c r="L60" s="16" t="s">
        <v>677</v>
      </c>
      <c r="M60" s="16"/>
      <c r="N60" s="16"/>
      <c r="O60" s="16"/>
      <c r="P60" s="16"/>
      <c r="Q60" s="16"/>
    </row>
    <row r="61" spans="1:17" x14ac:dyDescent="0.3">
      <c r="A61" s="16" t="s">
        <v>1033</v>
      </c>
      <c r="B61" s="16" t="s">
        <v>147</v>
      </c>
      <c r="C61" s="16" t="s">
        <v>1067</v>
      </c>
      <c r="D61" s="16" t="s">
        <v>1035</v>
      </c>
      <c r="E61" s="16" t="s">
        <v>1068</v>
      </c>
      <c r="F61" s="16" t="s">
        <v>1069</v>
      </c>
      <c r="G61" s="16" t="s">
        <v>1070</v>
      </c>
      <c r="H61" s="16">
        <v>10</v>
      </c>
      <c r="I61" s="16" t="s">
        <v>1071</v>
      </c>
      <c r="J61" s="16" t="s">
        <v>1072</v>
      </c>
      <c r="K61" s="16" t="s">
        <v>1073</v>
      </c>
      <c r="L61" s="16" t="s">
        <v>644</v>
      </c>
      <c r="M61" s="16"/>
      <c r="N61" s="16"/>
      <c r="O61" s="16"/>
      <c r="P61" s="16"/>
      <c r="Q61" s="16"/>
    </row>
    <row r="62" spans="1:17" x14ac:dyDescent="0.3">
      <c r="A62" s="16" t="s">
        <v>1033</v>
      </c>
      <c r="B62" s="16" t="s">
        <v>149</v>
      </c>
      <c r="C62" s="16" t="s">
        <v>1074</v>
      </c>
      <c r="D62" s="16" t="s">
        <v>1075</v>
      </c>
      <c r="E62" s="16" t="s">
        <v>1076</v>
      </c>
      <c r="F62" s="16" t="s">
        <v>1077</v>
      </c>
      <c r="G62" s="16" t="s">
        <v>640</v>
      </c>
      <c r="H62" s="16">
        <v>12</v>
      </c>
      <c r="I62" s="16" t="s">
        <v>1078</v>
      </c>
      <c r="J62" s="16" t="s">
        <v>1079</v>
      </c>
      <c r="K62" s="16" t="s">
        <v>1080</v>
      </c>
      <c r="L62" s="16" t="s">
        <v>644</v>
      </c>
      <c r="M62" s="16"/>
      <c r="N62" s="16"/>
      <c r="O62" s="16"/>
      <c r="P62" s="16"/>
      <c r="Q62" s="16"/>
    </row>
    <row r="63" spans="1:17" x14ac:dyDescent="0.3">
      <c r="A63" s="16" t="s">
        <v>1033</v>
      </c>
      <c r="B63" s="16" t="s">
        <v>151</v>
      </c>
      <c r="C63" s="16" t="s">
        <v>1081</v>
      </c>
      <c r="D63" s="16" t="s">
        <v>1082</v>
      </c>
      <c r="E63" s="16" t="s">
        <v>1083</v>
      </c>
      <c r="F63" s="16" t="s">
        <v>713</v>
      </c>
      <c r="G63" s="16" t="s">
        <v>1084</v>
      </c>
      <c r="H63" s="16">
        <v>20</v>
      </c>
      <c r="I63" s="16" t="s">
        <v>1085</v>
      </c>
      <c r="J63" s="16" t="s">
        <v>1086</v>
      </c>
      <c r="K63" s="16" t="s">
        <v>1087</v>
      </c>
      <c r="L63" s="16" t="s">
        <v>677</v>
      </c>
      <c r="M63" s="16"/>
      <c r="N63" s="16"/>
      <c r="O63" s="16"/>
      <c r="P63" s="16"/>
      <c r="Q63" s="16"/>
    </row>
    <row r="64" spans="1:17" x14ac:dyDescent="0.3">
      <c r="A64" s="16" t="s">
        <v>1033</v>
      </c>
      <c r="B64" s="16" t="s">
        <v>152</v>
      </c>
      <c r="C64" s="16" t="s">
        <v>884</v>
      </c>
      <c r="D64" s="16" t="s">
        <v>1088</v>
      </c>
      <c r="E64" s="16" t="s">
        <v>1089</v>
      </c>
      <c r="F64" s="16" t="s">
        <v>1090</v>
      </c>
      <c r="G64" s="16" t="s">
        <v>1091</v>
      </c>
      <c r="H64" s="16">
        <v>3</v>
      </c>
      <c r="I64" s="16" t="s">
        <v>1092</v>
      </c>
      <c r="J64" s="16" t="s">
        <v>1093</v>
      </c>
      <c r="K64" s="16" t="s">
        <v>1094</v>
      </c>
      <c r="L64" s="16" t="s">
        <v>644</v>
      </c>
      <c r="M64" s="16"/>
      <c r="N64" s="16"/>
      <c r="O64" s="16"/>
      <c r="P64" s="16"/>
      <c r="Q64" s="16"/>
    </row>
    <row r="65" spans="1:17" x14ac:dyDescent="0.3">
      <c r="A65" s="16" t="s">
        <v>1033</v>
      </c>
      <c r="B65" s="16" t="s">
        <v>153</v>
      </c>
      <c r="C65" s="16" t="s">
        <v>1095</v>
      </c>
      <c r="D65" s="16" t="s">
        <v>1035</v>
      </c>
      <c r="E65" s="16" t="s">
        <v>1096</v>
      </c>
      <c r="F65" s="16" t="s">
        <v>1097</v>
      </c>
      <c r="G65" s="16" t="s">
        <v>640</v>
      </c>
      <c r="H65" s="16">
        <v>10</v>
      </c>
      <c r="I65" s="16" t="s">
        <v>1098</v>
      </c>
      <c r="J65" s="16" t="s">
        <v>1099</v>
      </c>
      <c r="K65" s="16" t="s">
        <v>1100</v>
      </c>
      <c r="L65" s="16" t="s">
        <v>644</v>
      </c>
      <c r="M65" s="16"/>
      <c r="N65" s="16"/>
      <c r="O65" s="16"/>
      <c r="P65" s="16"/>
      <c r="Q65" s="16"/>
    </row>
    <row r="66" spans="1:17" x14ac:dyDescent="0.3">
      <c r="A66" s="16" t="s">
        <v>1033</v>
      </c>
      <c r="B66" s="16" t="s">
        <v>154</v>
      </c>
      <c r="C66" s="16" t="s">
        <v>1101</v>
      </c>
      <c r="D66" s="16" t="s">
        <v>1102</v>
      </c>
      <c r="E66" s="16" t="s">
        <v>1103</v>
      </c>
      <c r="F66" s="16" t="s">
        <v>1104</v>
      </c>
      <c r="G66" s="16" t="s">
        <v>1105</v>
      </c>
      <c r="H66" s="16">
        <v>25</v>
      </c>
      <c r="I66" s="16" t="s">
        <v>1106</v>
      </c>
      <c r="J66" s="16" t="s">
        <v>1107</v>
      </c>
      <c r="K66" s="16" t="s">
        <v>1108</v>
      </c>
      <c r="L66" s="16" t="s">
        <v>677</v>
      </c>
      <c r="M66" s="16"/>
      <c r="N66" s="16"/>
      <c r="O66" s="16"/>
      <c r="P66" s="16"/>
      <c r="Q66" s="16"/>
    </row>
    <row r="67" spans="1:17" x14ac:dyDescent="0.3">
      <c r="A67" s="16" t="s">
        <v>1033</v>
      </c>
      <c r="B67" s="16" t="s">
        <v>155</v>
      </c>
      <c r="C67" s="16" t="s">
        <v>1048</v>
      </c>
      <c r="D67" s="16" t="s">
        <v>1109</v>
      </c>
      <c r="E67" s="16" t="s">
        <v>1110</v>
      </c>
      <c r="F67" s="16" t="s">
        <v>1111</v>
      </c>
      <c r="G67" s="16" t="s">
        <v>1112</v>
      </c>
      <c r="H67" s="16">
        <v>1</v>
      </c>
      <c r="I67" s="16" t="s">
        <v>1113</v>
      </c>
      <c r="J67" s="16" t="s">
        <v>1114</v>
      </c>
      <c r="K67" s="16" t="s">
        <v>1115</v>
      </c>
      <c r="L67" s="16" t="s">
        <v>692</v>
      </c>
      <c r="M67" s="16"/>
      <c r="N67" s="16"/>
      <c r="O67" s="16"/>
      <c r="P67" s="16"/>
      <c r="Q67" s="16"/>
    </row>
    <row r="68" spans="1:17" x14ac:dyDescent="0.3">
      <c r="A68" s="16" t="s">
        <v>1033</v>
      </c>
      <c r="B68" s="16" t="s">
        <v>156</v>
      </c>
      <c r="C68" s="16" t="s">
        <v>884</v>
      </c>
      <c r="D68" s="16" t="s">
        <v>1109</v>
      </c>
      <c r="E68" s="16" t="s">
        <v>1116</v>
      </c>
      <c r="F68" s="16" t="s">
        <v>1117</v>
      </c>
      <c r="G68" s="16" t="s">
        <v>1118</v>
      </c>
      <c r="H68" s="16">
        <v>0.8</v>
      </c>
      <c r="I68" s="16" t="s">
        <v>1119</v>
      </c>
      <c r="J68" s="16" t="s">
        <v>1120</v>
      </c>
      <c r="K68" s="16" t="s">
        <v>1121</v>
      </c>
      <c r="L68" s="16" t="s">
        <v>692</v>
      </c>
      <c r="M68" s="16"/>
      <c r="N68" s="16"/>
      <c r="O68" s="16"/>
      <c r="P68" s="16"/>
      <c r="Q68" s="16"/>
    </row>
    <row r="69" spans="1:17" x14ac:dyDescent="0.3">
      <c r="A69" s="16" t="s">
        <v>1033</v>
      </c>
      <c r="B69" s="16" t="s">
        <v>157</v>
      </c>
      <c r="C69" s="16" t="s">
        <v>1122</v>
      </c>
      <c r="D69" s="16" t="s">
        <v>1123</v>
      </c>
      <c r="E69" s="16" t="s">
        <v>1124</v>
      </c>
      <c r="F69" s="16" t="s">
        <v>1125</v>
      </c>
      <c r="G69" s="16" t="s">
        <v>888</v>
      </c>
      <c r="H69" s="16">
        <v>1.2</v>
      </c>
      <c r="I69" s="16" t="s">
        <v>1126</v>
      </c>
      <c r="J69" s="16" t="s">
        <v>1127</v>
      </c>
      <c r="K69" s="16" t="s">
        <v>1128</v>
      </c>
      <c r="L69" s="16" t="s">
        <v>692</v>
      </c>
      <c r="M69" s="16"/>
      <c r="N69" s="16"/>
      <c r="O69" s="16"/>
      <c r="P69" s="16"/>
      <c r="Q69" s="16"/>
    </row>
    <row r="70" spans="1:17" x14ac:dyDescent="0.3">
      <c r="A70" s="16" t="s">
        <v>929</v>
      </c>
      <c r="B70" s="16" t="s">
        <v>158</v>
      </c>
      <c r="C70" s="16" t="s">
        <v>838</v>
      </c>
      <c r="D70" s="16" t="s">
        <v>1129</v>
      </c>
      <c r="E70" s="16" t="s">
        <v>1130</v>
      </c>
      <c r="F70" s="16" t="s">
        <v>1131</v>
      </c>
      <c r="G70" s="16" t="s">
        <v>1022</v>
      </c>
      <c r="H70" s="16">
        <v>40</v>
      </c>
      <c r="I70" s="16" t="s">
        <v>1132</v>
      </c>
      <c r="J70" s="16" t="s">
        <v>1133</v>
      </c>
      <c r="K70" s="16" t="s">
        <v>1134</v>
      </c>
      <c r="L70" s="16" t="s">
        <v>1135</v>
      </c>
      <c r="M70" s="16"/>
      <c r="N70" s="16"/>
      <c r="O70" s="16"/>
      <c r="P70" s="16"/>
      <c r="Q70" s="16"/>
    </row>
    <row r="71" spans="1:17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</row>
    <row r="72" spans="1:17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</row>
    <row r="73" spans="1:17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</row>
    <row r="74" spans="1:17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</row>
    <row r="75" spans="1:17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</row>
    <row r="76" spans="1:17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</row>
    <row r="77" spans="1:17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</row>
    <row r="78" spans="1:17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</row>
    <row r="79" spans="1:17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</row>
    <row r="80" spans="1:17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</row>
    <row r="81" spans="1:17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</row>
    <row r="82" spans="1:17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</row>
    <row r="83" spans="1:17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</row>
    <row r="84" spans="1:17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</row>
    <row r="85" spans="1:17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</row>
    <row r="86" spans="1:17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</row>
    <row r="87" spans="1:17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</row>
    <row r="88" spans="1:17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</row>
    <row r="89" spans="1:17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</row>
    <row r="90" spans="1:17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</row>
    <row r="91" spans="1:17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17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17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17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17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17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17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17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17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17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17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17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</row>
    <row r="103" spans="1:17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</row>
    <row r="104" spans="1:17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</row>
    <row r="105" spans="1:17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17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17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17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17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17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17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17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17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17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</row>
    <row r="115" spans="1:17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</row>
    <row r="116" spans="1:17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17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17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17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17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17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17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</row>
    <row r="123" spans="1:17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</row>
    <row r="124" spans="1:17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</row>
    <row r="125" spans="1:17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</row>
    <row r="126" spans="1:17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17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17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17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17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17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17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17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</row>
    <row r="134" spans="1:17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</row>
    <row r="135" spans="1:17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</row>
    <row r="136" spans="1:17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17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17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spans="1:17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spans="1:17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</row>
    <row r="141" spans="1:17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</row>
    <row r="142" spans="1:17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7"/>
  <sheetViews>
    <sheetView workbookViewId="0"/>
  </sheetViews>
  <sheetFormatPr defaultRowHeight="14.4" x14ac:dyDescent="0.3"/>
  <sheetData>
    <row r="1" spans="1:12" x14ac:dyDescent="0.3">
      <c r="A1" t="s">
        <v>1136</v>
      </c>
      <c r="B1" t="s">
        <v>1137</v>
      </c>
      <c r="C1" t="s">
        <v>626</v>
      </c>
      <c r="D1" t="s">
        <v>624</v>
      </c>
      <c r="E1" t="s">
        <v>625</v>
      </c>
      <c r="F1" t="s">
        <v>1138</v>
      </c>
      <c r="G1" t="s">
        <v>1139</v>
      </c>
      <c r="H1" t="s">
        <v>629</v>
      </c>
      <c r="I1" t="s">
        <v>1140</v>
      </c>
      <c r="J1" t="s">
        <v>1141</v>
      </c>
      <c r="K1" t="s">
        <v>1142</v>
      </c>
      <c r="L1" t="s">
        <v>1143</v>
      </c>
    </row>
    <row r="2" spans="1:12" x14ac:dyDescent="0.3">
      <c r="A2" t="s">
        <v>1144</v>
      </c>
    </row>
    <row r="3" spans="1:12" x14ac:dyDescent="0.3">
      <c r="A3">
        <v>1</v>
      </c>
      <c r="B3" t="s">
        <v>1145</v>
      </c>
      <c r="C3" t="s">
        <v>1146</v>
      </c>
      <c r="D3" t="s">
        <v>1147</v>
      </c>
      <c r="E3" t="s">
        <v>1148</v>
      </c>
      <c r="F3" t="s">
        <v>1149</v>
      </c>
      <c r="G3" t="s">
        <v>1150</v>
      </c>
      <c r="H3" t="s">
        <v>1151</v>
      </c>
      <c r="I3">
        <v>10</v>
      </c>
      <c r="J3" t="s">
        <v>1152</v>
      </c>
      <c r="L3" t="s">
        <v>1153</v>
      </c>
    </row>
    <row r="4" spans="1:12" x14ac:dyDescent="0.3">
      <c r="A4">
        <v>2</v>
      </c>
      <c r="B4" t="s">
        <v>1145</v>
      </c>
      <c r="C4" t="s">
        <v>1146</v>
      </c>
      <c r="D4" t="s">
        <v>1154</v>
      </c>
      <c r="E4" t="s">
        <v>1155</v>
      </c>
      <c r="F4" t="s">
        <v>1156</v>
      </c>
      <c r="G4" t="s">
        <v>1043</v>
      </c>
      <c r="H4" t="s">
        <v>1157</v>
      </c>
      <c r="I4">
        <v>10</v>
      </c>
      <c r="J4" t="s">
        <v>1152</v>
      </c>
      <c r="L4" t="s">
        <v>1158</v>
      </c>
    </row>
    <row r="5" spans="1:12" x14ac:dyDescent="0.3">
      <c r="A5">
        <v>3</v>
      </c>
      <c r="B5" t="s">
        <v>1145</v>
      </c>
      <c r="C5" t="s">
        <v>1146</v>
      </c>
      <c r="D5" t="s">
        <v>1159</v>
      </c>
      <c r="E5" t="s">
        <v>1067</v>
      </c>
      <c r="F5" t="s">
        <v>1156</v>
      </c>
      <c r="G5" t="s">
        <v>1150</v>
      </c>
      <c r="H5" t="s">
        <v>1160</v>
      </c>
      <c r="I5">
        <v>10</v>
      </c>
      <c r="J5" t="s">
        <v>1152</v>
      </c>
      <c r="K5" t="s">
        <v>1161</v>
      </c>
      <c r="L5" t="s">
        <v>1162</v>
      </c>
    </row>
    <row r="6" spans="1:12" x14ac:dyDescent="0.3">
      <c r="A6">
        <v>4</v>
      </c>
      <c r="B6" t="s">
        <v>1145</v>
      </c>
      <c r="C6" t="s">
        <v>1146</v>
      </c>
      <c r="D6" t="s">
        <v>1163</v>
      </c>
      <c r="E6" t="s">
        <v>1164</v>
      </c>
      <c r="F6" t="s">
        <v>1156</v>
      </c>
      <c r="G6" t="s">
        <v>1043</v>
      </c>
      <c r="H6" t="s">
        <v>1165</v>
      </c>
      <c r="I6">
        <v>10</v>
      </c>
      <c r="J6" t="s">
        <v>1152</v>
      </c>
      <c r="L6" t="s">
        <v>1166</v>
      </c>
    </row>
    <row r="7" spans="1:12" x14ac:dyDescent="0.3">
      <c r="A7">
        <v>5</v>
      </c>
      <c r="B7" t="s">
        <v>1145</v>
      </c>
      <c r="C7" t="s">
        <v>1146</v>
      </c>
      <c r="D7" t="s">
        <v>1167</v>
      </c>
      <c r="E7" t="s">
        <v>1074</v>
      </c>
      <c r="F7" t="s">
        <v>1156</v>
      </c>
      <c r="G7" t="s">
        <v>1168</v>
      </c>
      <c r="H7" t="s">
        <v>1169</v>
      </c>
      <c r="I7">
        <v>10</v>
      </c>
      <c r="J7" t="s">
        <v>1152</v>
      </c>
      <c r="L7" t="s">
        <v>1170</v>
      </c>
    </row>
    <row r="8" spans="1:12" x14ac:dyDescent="0.3">
      <c r="A8">
        <v>6</v>
      </c>
      <c r="B8" t="s">
        <v>1145</v>
      </c>
      <c r="C8" t="s">
        <v>1146</v>
      </c>
      <c r="D8" t="s">
        <v>1171</v>
      </c>
      <c r="E8" t="s">
        <v>884</v>
      </c>
      <c r="F8" t="s">
        <v>1156</v>
      </c>
      <c r="G8" t="s">
        <v>344</v>
      </c>
      <c r="H8" t="s">
        <v>1172</v>
      </c>
      <c r="I8">
        <v>5</v>
      </c>
      <c r="J8" t="s">
        <v>1173</v>
      </c>
      <c r="L8" t="s">
        <v>1174</v>
      </c>
    </row>
    <row r="9" spans="1:12" x14ac:dyDescent="0.3">
      <c r="A9">
        <v>7</v>
      </c>
      <c r="B9" t="s">
        <v>1145</v>
      </c>
      <c r="C9" t="s">
        <v>1146</v>
      </c>
      <c r="D9" t="s">
        <v>1175</v>
      </c>
      <c r="E9" t="s">
        <v>1122</v>
      </c>
      <c r="F9" t="s">
        <v>1156</v>
      </c>
      <c r="G9" t="s">
        <v>1176</v>
      </c>
      <c r="H9" t="s">
        <v>1160</v>
      </c>
      <c r="I9">
        <v>5</v>
      </c>
      <c r="J9" t="s">
        <v>1152</v>
      </c>
      <c r="L9" t="s">
        <v>1177</v>
      </c>
    </row>
    <row r="10" spans="1:12" x14ac:dyDescent="0.3">
      <c r="A10">
        <v>8</v>
      </c>
      <c r="B10" t="s">
        <v>1145</v>
      </c>
      <c r="C10" t="s">
        <v>1146</v>
      </c>
      <c r="D10" t="s">
        <v>1178</v>
      </c>
      <c r="E10" t="s">
        <v>1179</v>
      </c>
      <c r="F10" t="s">
        <v>1156</v>
      </c>
      <c r="G10" t="s">
        <v>1043</v>
      </c>
      <c r="H10" t="s">
        <v>1160</v>
      </c>
      <c r="I10">
        <v>10</v>
      </c>
      <c r="J10" t="s">
        <v>1152</v>
      </c>
    </row>
    <row r="11" spans="1:12" x14ac:dyDescent="0.3">
      <c r="A11">
        <v>9</v>
      </c>
      <c r="B11" t="s">
        <v>1145</v>
      </c>
      <c r="C11" t="s">
        <v>1146</v>
      </c>
      <c r="D11" t="s">
        <v>1180</v>
      </c>
      <c r="E11" t="s">
        <v>1034</v>
      </c>
      <c r="F11" t="s">
        <v>1156</v>
      </c>
      <c r="G11" t="s">
        <v>1125</v>
      </c>
      <c r="H11" t="s">
        <v>1165</v>
      </c>
      <c r="I11">
        <v>10</v>
      </c>
      <c r="J11" t="s">
        <v>1152</v>
      </c>
      <c r="L11" t="s">
        <v>1181</v>
      </c>
    </row>
    <row r="12" spans="1:12" x14ac:dyDescent="0.3">
      <c r="A12">
        <v>10</v>
      </c>
      <c r="B12" t="s">
        <v>1145</v>
      </c>
      <c r="C12" t="s">
        <v>1146</v>
      </c>
      <c r="D12" t="s">
        <v>1182</v>
      </c>
      <c r="E12" t="s">
        <v>1183</v>
      </c>
      <c r="F12" t="s">
        <v>1156</v>
      </c>
      <c r="G12" t="s">
        <v>344</v>
      </c>
      <c r="H12" t="s">
        <v>1184</v>
      </c>
      <c r="I12">
        <v>5</v>
      </c>
      <c r="J12" t="s">
        <v>1173</v>
      </c>
      <c r="L12" t="s">
        <v>1185</v>
      </c>
    </row>
    <row r="13" spans="1:12" x14ac:dyDescent="0.3">
      <c r="A13">
        <v>11</v>
      </c>
      <c r="B13" t="s">
        <v>1145</v>
      </c>
      <c r="C13" t="s">
        <v>1146</v>
      </c>
      <c r="D13" t="s">
        <v>1186</v>
      </c>
      <c r="E13" t="s">
        <v>1187</v>
      </c>
      <c r="F13" t="s">
        <v>1156</v>
      </c>
      <c r="G13" t="s">
        <v>344</v>
      </c>
      <c r="H13" t="s">
        <v>1184</v>
      </c>
      <c r="I13">
        <v>5</v>
      </c>
      <c r="J13" t="s">
        <v>1173</v>
      </c>
    </row>
    <row r="14" spans="1:12" x14ac:dyDescent="0.3">
      <c r="A14">
        <v>12</v>
      </c>
      <c r="B14" t="s">
        <v>1145</v>
      </c>
      <c r="C14" t="s">
        <v>1146</v>
      </c>
      <c r="D14" t="s">
        <v>1188</v>
      </c>
      <c r="E14" t="s">
        <v>1189</v>
      </c>
      <c r="F14" t="s">
        <v>1156</v>
      </c>
      <c r="G14" t="s">
        <v>344</v>
      </c>
      <c r="H14" t="s">
        <v>1172</v>
      </c>
      <c r="I14">
        <v>5</v>
      </c>
      <c r="J14" t="s">
        <v>1173</v>
      </c>
    </row>
    <row r="15" spans="1:12" x14ac:dyDescent="0.3">
      <c r="A15">
        <v>13</v>
      </c>
      <c r="B15" t="s">
        <v>1145</v>
      </c>
      <c r="C15" t="s">
        <v>1146</v>
      </c>
      <c r="D15" t="s">
        <v>1190</v>
      </c>
      <c r="E15" t="s">
        <v>1191</v>
      </c>
      <c r="F15" t="s">
        <v>1156</v>
      </c>
      <c r="G15" t="s">
        <v>344</v>
      </c>
      <c r="H15" t="s">
        <v>1172</v>
      </c>
      <c r="I15">
        <v>5</v>
      </c>
      <c r="J15" t="s">
        <v>1173</v>
      </c>
    </row>
    <row r="16" spans="1:12" x14ac:dyDescent="0.3">
      <c r="A16">
        <v>14</v>
      </c>
      <c r="B16" t="s">
        <v>1145</v>
      </c>
      <c r="C16" t="s">
        <v>1146</v>
      </c>
      <c r="D16" t="s">
        <v>1192</v>
      </c>
      <c r="E16" t="s">
        <v>1193</v>
      </c>
      <c r="F16" t="s">
        <v>1156</v>
      </c>
      <c r="G16" t="s">
        <v>344</v>
      </c>
      <c r="H16" t="s">
        <v>1194</v>
      </c>
      <c r="I16">
        <v>5</v>
      </c>
      <c r="J16" t="s">
        <v>1173</v>
      </c>
      <c r="L16" t="s">
        <v>1195</v>
      </c>
    </row>
    <row r="17" spans="1:12" x14ac:dyDescent="0.3">
      <c r="A17">
        <v>15</v>
      </c>
      <c r="B17" t="s">
        <v>1145</v>
      </c>
      <c r="C17" t="s">
        <v>1146</v>
      </c>
      <c r="D17" t="s">
        <v>1196</v>
      </c>
      <c r="E17" t="s">
        <v>1197</v>
      </c>
      <c r="F17" t="s">
        <v>1156</v>
      </c>
      <c r="G17" t="s">
        <v>344</v>
      </c>
      <c r="H17" t="s">
        <v>1184</v>
      </c>
      <c r="I17">
        <v>5</v>
      </c>
      <c r="J17" t="s">
        <v>1173</v>
      </c>
    </row>
    <row r="18" spans="1:12" x14ac:dyDescent="0.3">
      <c r="A18">
        <v>16</v>
      </c>
      <c r="B18" t="s">
        <v>1145</v>
      </c>
      <c r="C18" t="s">
        <v>1146</v>
      </c>
      <c r="D18" t="s">
        <v>1198</v>
      </c>
      <c r="E18" t="s">
        <v>1095</v>
      </c>
      <c r="F18" t="s">
        <v>1156</v>
      </c>
      <c r="G18" t="s">
        <v>1125</v>
      </c>
      <c r="H18" t="s">
        <v>1169</v>
      </c>
      <c r="I18">
        <v>10</v>
      </c>
      <c r="J18" t="s">
        <v>1152</v>
      </c>
      <c r="L18" t="s">
        <v>1199</v>
      </c>
    </row>
    <row r="19" spans="1:12" x14ac:dyDescent="0.3">
      <c r="A19" t="s">
        <v>1200</v>
      </c>
    </row>
    <row r="20" spans="1:12" x14ac:dyDescent="0.3">
      <c r="A20">
        <v>17</v>
      </c>
      <c r="B20" t="s">
        <v>1145</v>
      </c>
      <c r="C20" t="s">
        <v>1201</v>
      </c>
      <c r="D20" t="s">
        <v>1202</v>
      </c>
      <c r="E20" t="s">
        <v>1148</v>
      </c>
      <c r="F20" t="s">
        <v>1203</v>
      </c>
      <c r="G20" t="s">
        <v>1204</v>
      </c>
      <c r="H20" t="s">
        <v>1160</v>
      </c>
      <c r="I20">
        <v>5</v>
      </c>
      <c r="J20" t="s">
        <v>1152</v>
      </c>
    </row>
    <row r="21" spans="1:12" x14ac:dyDescent="0.3">
      <c r="A21">
        <v>18</v>
      </c>
      <c r="B21" t="s">
        <v>1145</v>
      </c>
      <c r="C21" t="s">
        <v>1201</v>
      </c>
      <c r="D21" t="s">
        <v>1205</v>
      </c>
      <c r="E21" t="s">
        <v>1148</v>
      </c>
      <c r="F21" t="s">
        <v>1203</v>
      </c>
      <c r="G21" t="s">
        <v>1206</v>
      </c>
      <c r="H21" t="s">
        <v>1160</v>
      </c>
      <c r="I21">
        <v>5</v>
      </c>
      <c r="J21" t="s">
        <v>1152</v>
      </c>
      <c r="K21" t="s">
        <v>1207</v>
      </c>
    </row>
    <row r="22" spans="1:12" x14ac:dyDescent="0.3">
      <c r="A22">
        <v>19</v>
      </c>
      <c r="B22" t="s">
        <v>1145</v>
      </c>
      <c r="C22" t="s">
        <v>1201</v>
      </c>
      <c r="D22" t="s">
        <v>1208</v>
      </c>
      <c r="E22" t="s">
        <v>1148</v>
      </c>
      <c r="F22" t="s">
        <v>1203</v>
      </c>
      <c r="G22" t="s">
        <v>1209</v>
      </c>
      <c r="H22" t="s">
        <v>1160</v>
      </c>
      <c r="I22">
        <v>5</v>
      </c>
      <c r="J22" t="s">
        <v>1152</v>
      </c>
    </row>
    <row r="23" spans="1:12" x14ac:dyDescent="0.3">
      <c r="A23">
        <v>20</v>
      </c>
      <c r="B23" t="s">
        <v>1145</v>
      </c>
      <c r="C23" t="s">
        <v>1201</v>
      </c>
      <c r="D23" t="s">
        <v>1210</v>
      </c>
      <c r="E23" t="s">
        <v>1148</v>
      </c>
      <c r="F23" t="s">
        <v>1203</v>
      </c>
      <c r="G23" t="s">
        <v>1211</v>
      </c>
      <c r="H23" t="s">
        <v>1160</v>
      </c>
      <c r="I23">
        <v>5</v>
      </c>
      <c r="J23" t="s">
        <v>1152</v>
      </c>
    </row>
    <row r="24" spans="1:12" x14ac:dyDescent="0.3">
      <c r="A24" t="s">
        <v>1212</v>
      </c>
    </row>
    <row r="25" spans="1:12" x14ac:dyDescent="0.3">
      <c r="A25">
        <v>21</v>
      </c>
      <c r="B25" t="s">
        <v>1145</v>
      </c>
      <c r="C25" t="s">
        <v>1213</v>
      </c>
      <c r="D25" t="s">
        <v>1214</v>
      </c>
      <c r="E25" t="s">
        <v>1148</v>
      </c>
      <c r="F25" t="s">
        <v>1215</v>
      </c>
      <c r="G25" t="s">
        <v>1216</v>
      </c>
      <c r="H25" t="s">
        <v>1217</v>
      </c>
      <c r="I25">
        <v>10</v>
      </c>
      <c r="J25" t="s">
        <v>1152</v>
      </c>
      <c r="K25" t="s">
        <v>1218</v>
      </c>
      <c r="L25" t="s">
        <v>1219</v>
      </c>
    </row>
    <row r="26" spans="1:12" x14ac:dyDescent="0.3">
      <c r="A26">
        <v>22</v>
      </c>
      <c r="B26" t="s">
        <v>1145</v>
      </c>
      <c r="C26" t="s">
        <v>1213</v>
      </c>
      <c r="D26" t="s">
        <v>1220</v>
      </c>
      <c r="E26" t="s">
        <v>1148</v>
      </c>
      <c r="F26" t="s">
        <v>1221</v>
      </c>
      <c r="G26" t="s">
        <v>1222</v>
      </c>
      <c r="H26" t="s">
        <v>1160</v>
      </c>
      <c r="I26">
        <v>10</v>
      </c>
      <c r="J26" t="s">
        <v>1152</v>
      </c>
      <c r="L26" t="s">
        <v>1223</v>
      </c>
    </row>
    <row r="27" spans="1:12" x14ac:dyDescent="0.3">
      <c r="A27">
        <v>23</v>
      </c>
      <c r="B27" t="s">
        <v>1145</v>
      </c>
      <c r="C27" t="s">
        <v>1213</v>
      </c>
      <c r="D27" t="s">
        <v>1224</v>
      </c>
      <c r="E27" t="s">
        <v>1148</v>
      </c>
      <c r="F27" t="s">
        <v>1221</v>
      </c>
      <c r="G27" t="s">
        <v>1222</v>
      </c>
      <c r="H27" t="s">
        <v>1151</v>
      </c>
      <c r="I27">
        <v>10</v>
      </c>
      <c r="J27" t="s">
        <v>1152</v>
      </c>
      <c r="L27" t="s">
        <v>1225</v>
      </c>
    </row>
    <row r="28" spans="1:12" x14ac:dyDescent="0.3">
      <c r="A28">
        <v>24</v>
      </c>
      <c r="B28" t="s">
        <v>1145</v>
      </c>
      <c r="C28" t="s">
        <v>1213</v>
      </c>
      <c r="D28" t="s">
        <v>1226</v>
      </c>
      <c r="E28" t="s">
        <v>1148</v>
      </c>
      <c r="F28" t="s">
        <v>1221</v>
      </c>
      <c r="G28" t="s">
        <v>1227</v>
      </c>
      <c r="H28" t="s">
        <v>1217</v>
      </c>
      <c r="I28">
        <v>10</v>
      </c>
      <c r="J28" t="s">
        <v>1152</v>
      </c>
      <c r="K28" t="s">
        <v>1228</v>
      </c>
      <c r="L28" t="s">
        <v>1229</v>
      </c>
    </row>
    <row r="29" spans="1:12" x14ac:dyDescent="0.3">
      <c r="A29" t="s">
        <v>1230</v>
      </c>
    </row>
    <row r="30" spans="1:12" x14ac:dyDescent="0.3">
      <c r="A30">
        <v>25</v>
      </c>
      <c r="B30" t="s">
        <v>1145</v>
      </c>
      <c r="C30" t="s">
        <v>1231</v>
      </c>
      <c r="D30" t="s">
        <v>1232</v>
      </c>
      <c r="E30" t="s">
        <v>1148</v>
      </c>
      <c r="F30" t="s">
        <v>1233</v>
      </c>
      <c r="G30" t="s">
        <v>1234</v>
      </c>
      <c r="H30" t="s">
        <v>1235</v>
      </c>
      <c r="I30">
        <v>5</v>
      </c>
      <c r="J30" t="s">
        <v>1152</v>
      </c>
      <c r="K30" t="s">
        <v>1236</v>
      </c>
    </row>
    <row r="31" spans="1:12" x14ac:dyDescent="0.3">
      <c r="A31">
        <v>26</v>
      </c>
      <c r="B31" t="s">
        <v>1145</v>
      </c>
      <c r="C31" t="s">
        <v>1231</v>
      </c>
      <c r="D31" t="s">
        <v>1237</v>
      </c>
      <c r="E31" t="s">
        <v>1148</v>
      </c>
      <c r="F31" t="s">
        <v>1233</v>
      </c>
      <c r="G31" t="s">
        <v>887</v>
      </c>
      <c r="H31" t="s">
        <v>1235</v>
      </c>
      <c r="I31">
        <v>5</v>
      </c>
      <c r="J31" t="s">
        <v>1152</v>
      </c>
      <c r="K31" t="s">
        <v>1238</v>
      </c>
      <c r="L31" t="s">
        <v>1239</v>
      </c>
    </row>
    <row r="32" spans="1:12" x14ac:dyDescent="0.3">
      <c r="A32">
        <v>27</v>
      </c>
      <c r="B32" t="s">
        <v>1145</v>
      </c>
      <c r="C32" t="s">
        <v>1231</v>
      </c>
      <c r="D32" t="s">
        <v>1240</v>
      </c>
      <c r="E32" t="s">
        <v>1148</v>
      </c>
      <c r="F32" t="s">
        <v>1203</v>
      </c>
      <c r="G32" t="s">
        <v>887</v>
      </c>
      <c r="H32" t="s">
        <v>1165</v>
      </c>
      <c r="I32">
        <v>5</v>
      </c>
      <c r="J32" t="s">
        <v>1152</v>
      </c>
    </row>
    <row r="33" spans="1:12" x14ac:dyDescent="0.3">
      <c r="A33">
        <v>28</v>
      </c>
      <c r="B33" t="s">
        <v>1145</v>
      </c>
      <c r="C33" t="s">
        <v>1231</v>
      </c>
      <c r="D33" t="s">
        <v>1241</v>
      </c>
      <c r="E33" t="s">
        <v>1148</v>
      </c>
      <c r="F33" t="s">
        <v>1203</v>
      </c>
      <c r="G33" t="s">
        <v>887</v>
      </c>
      <c r="H33" t="s">
        <v>1165</v>
      </c>
      <c r="I33">
        <v>5</v>
      </c>
      <c r="J33" t="s">
        <v>1152</v>
      </c>
    </row>
    <row r="34" spans="1:12" x14ac:dyDescent="0.3">
      <c r="A34">
        <v>29</v>
      </c>
      <c r="B34" t="s">
        <v>1145</v>
      </c>
      <c r="C34" t="s">
        <v>1231</v>
      </c>
      <c r="D34" t="s">
        <v>1242</v>
      </c>
      <c r="E34" t="s">
        <v>1148</v>
      </c>
      <c r="F34" t="s">
        <v>1233</v>
      </c>
      <c r="G34" t="s">
        <v>887</v>
      </c>
      <c r="H34" t="s">
        <v>1235</v>
      </c>
      <c r="I34">
        <v>5</v>
      </c>
      <c r="J34" t="s">
        <v>1152</v>
      </c>
      <c r="L34" t="s">
        <v>1243</v>
      </c>
    </row>
    <row r="35" spans="1:12" x14ac:dyDescent="0.3">
      <c r="A35" t="s">
        <v>1244</v>
      </c>
    </row>
    <row r="36" spans="1:12" x14ac:dyDescent="0.3">
      <c r="A36">
        <v>30</v>
      </c>
      <c r="B36" t="s">
        <v>1145</v>
      </c>
      <c r="C36" t="s">
        <v>1245</v>
      </c>
      <c r="D36" t="s">
        <v>1246</v>
      </c>
      <c r="E36" t="s">
        <v>1148</v>
      </c>
      <c r="F36" t="s">
        <v>1221</v>
      </c>
      <c r="G36" t="s">
        <v>1247</v>
      </c>
      <c r="H36" t="s">
        <v>1151</v>
      </c>
      <c r="I36">
        <v>10</v>
      </c>
      <c r="J36" t="s">
        <v>1152</v>
      </c>
    </row>
    <row r="37" spans="1:12" x14ac:dyDescent="0.3">
      <c r="A37">
        <v>31</v>
      </c>
      <c r="B37" t="s">
        <v>1145</v>
      </c>
      <c r="C37" t="s">
        <v>1245</v>
      </c>
      <c r="D37" t="s">
        <v>1248</v>
      </c>
      <c r="E37" t="s">
        <v>1148</v>
      </c>
      <c r="F37" t="s">
        <v>1249</v>
      </c>
      <c r="G37" t="s">
        <v>1250</v>
      </c>
      <c r="H37" t="s">
        <v>1157</v>
      </c>
      <c r="I37">
        <v>10</v>
      </c>
      <c r="J37" t="s">
        <v>1152</v>
      </c>
      <c r="L37" t="s">
        <v>1251</v>
      </c>
    </row>
    <row r="38" spans="1:12" x14ac:dyDescent="0.3">
      <c r="A38">
        <v>32</v>
      </c>
      <c r="B38" t="s">
        <v>1145</v>
      </c>
      <c r="C38" t="s">
        <v>1245</v>
      </c>
      <c r="D38" t="s">
        <v>1252</v>
      </c>
      <c r="E38" t="s">
        <v>1148</v>
      </c>
      <c r="F38" t="s">
        <v>1253</v>
      </c>
      <c r="G38" t="s">
        <v>1250</v>
      </c>
      <c r="H38" t="s">
        <v>1151</v>
      </c>
      <c r="I38">
        <v>10</v>
      </c>
      <c r="J38" t="s">
        <v>1152</v>
      </c>
      <c r="L38" t="s">
        <v>1254</v>
      </c>
    </row>
    <row r="39" spans="1:12" x14ac:dyDescent="0.3">
      <c r="A39">
        <v>33</v>
      </c>
      <c r="B39" t="s">
        <v>1145</v>
      </c>
      <c r="C39" t="s">
        <v>1245</v>
      </c>
      <c r="D39" t="s">
        <v>1255</v>
      </c>
      <c r="E39" t="s">
        <v>1148</v>
      </c>
      <c r="F39" t="s">
        <v>1253</v>
      </c>
      <c r="G39" t="s">
        <v>1250</v>
      </c>
      <c r="H39" t="s">
        <v>1151</v>
      </c>
      <c r="I39">
        <v>10</v>
      </c>
      <c r="J39" t="s">
        <v>1152</v>
      </c>
      <c r="L39" t="s">
        <v>1256</v>
      </c>
    </row>
    <row r="40" spans="1:12" x14ac:dyDescent="0.3">
      <c r="A40" t="s">
        <v>1257</v>
      </c>
    </row>
    <row r="41" spans="1:12" x14ac:dyDescent="0.3">
      <c r="A41">
        <v>34</v>
      </c>
      <c r="B41" t="s">
        <v>1145</v>
      </c>
      <c r="C41" t="s">
        <v>1258</v>
      </c>
      <c r="D41" t="s">
        <v>1259</v>
      </c>
      <c r="E41" t="s">
        <v>1148</v>
      </c>
      <c r="F41" t="s">
        <v>1260</v>
      </c>
      <c r="G41" t="s">
        <v>1261</v>
      </c>
      <c r="H41" t="s">
        <v>1169</v>
      </c>
      <c r="I41">
        <v>5</v>
      </c>
      <c r="J41" t="s">
        <v>1152</v>
      </c>
      <c r="L41" t="s">
        <v>1262</v>
      </c>
    </row>
    <row r="42" spans="1:12" x14ac:dyDescent="0.3">
      <c r="A42">
        <v>35</v>
      </c>
      <c r="B42" t="s">
        <v>1145</v>
      </c>
      <c r="C42" t="s">
        <v>1258</v>
      </c>
      <c r="D42" t="s">
        <v>1263</v>
      </c>
      <c r="E42" t="s">
        <v>1148</v>
      </c>
      <c r="F42" t="s">
        <v>1221</v>
      </c>
      <c r="G42" t="s">
        <v>1043</v>
      </c>
      <c r="H42" t="s">
        <v>1151</v>
      </c>
      <c r="I42">
        <v>5</v>
      </c>
      <c r="J42" t="s">
        <v>1152</v>
      </c>
      <c r="L42" t="s">
        <v>1264</v>
      </c>
    </row>
    <row r="43" spans="1:12" x14ac:dyDescent="0.3">
      <c r="A43">
        <v>36</v>
      </c>
      <c r="B43" t="s">
        <v>1145</v>
      </c>
      <c r="C43" t="s">
        <v>1258</v>
      </c>
      <c r="D43" t="s">
        <v>1265</v>
      </c>
      <c r="E43" t="s">
        <v>1148</v>
      </c>
      <c r="F43" t="s">
        <v>1266</v>
      </c>
      <c r="G43" t="s">
        <v>1267</v>
      </c>
      <c r="H43" t="s">
        <v>1151</v>
      </c>
      <c r="I43">
        <v>10</v>
      </c>
      <c r="J43" t="s">
        <v>1152</v>
      </c>
      <c r="L43" t="s">
        <v>1268</v>
      </c>
    </row>
    <row r="44" spans="1:12" x14ac:dyDescent="0.3">
      <c r="A44">
        <v>37</v>
      </c>
      <c r="B44" t="s">
        <v>1145</v>
      </c>
      <c r="C44" t="s">
        <v>1258</v>
      </c>
      <c r="D44" t="s">
        <v>1269</v>
      </c>
      <c r="E44" t="s">
        <v>1148</v>
      </c>
      <c r="F44" t="s">
        <v>1270</v>
      </c>
      <c r="G44" t="s">
        <v>1043</v>
      </c>
      <c r="H44" t="s">
        <v>1151</v>
      </c>
      <c r="I44">
        <v>10</v>
      </c>
      <c r="J44" t="s">
        <v>1152</v>
      </c>
      <c r="L44" t="s">
        <v>1271</v>
      </c>
    </row>
    <row r="45" spans="1:12" x14ac:dyDescent="0.3">
      <c r="A45">
        <v>38</v>
      </c>
      <c r="B45" t="s">
        <v>1145</v>
      </c>
      <c r="C45" t="s">
        <v>1258</v>
      </c>
      <c r="D45" t="s">
        <v>1272</v>
      </c>
      <c r="E45" t="s">
        <v>1148</v>
      </c>
      <c r="F45" t="s">
        <v>1221</v>
      </c>
      <c r="G45" t="s">
        <v>887</v>
      </c>
      <c r="H45" t="s">
        <v>1151</v>
      </c>
      <c r="I45">
        <v>5</v>
      </c>
      <c r="J45" t="s">
        <v>1152</v>
      </c>
      <c r="L45" t="s">
        <v>1273</v>
      </c>
    </row>
    <row r="46" spans="1:12" x14ac:dyDescent="0.3">
      <c r="A46">
        <v>39</v>
      </c>
      <c r="B46" t="s">
        <v>1145</v>
      </c>
      <c r="C46" t="s">
        <v>1258</v>
      </c>
      <c r="D46" t="s">
        <v>1274</v>
      </c>
      <c r="E46" t="s">
        <v>1148</v>
      </c>
      <c r="F46" t="s">
        <v>1275</v>
      </c>
      <c r="G46" t="s">
        <v>1021</v>
      </c>
      <c r="H46" t="s">
        <v>1276</v>
      </c>
      <c r="I46">
        <v>3</v>
      </c>
      <c r="J46" t="s">
        <v>1152</v>
      </c>
      <c r="K46" t="s">
        <v>1277</v>
      </c>
      <c r="L46" t="s">
        <v>1278</v>
      </c>
    </row>
    <row r="47" spans="1:12" x14ac:dyDescent="0.3">
      <c r="A47">
        <v>40</v>
      </c>
      <c r="B47" t="s">
        <v>1145</v>
      </c>
      <c r="C47" t="s">
        <v>1258</v>
      </c>
      <c r="D47" t="s">
        <v>1279</v>
      </c>
      <c r="E47" t="s">
        <v>1148</v>
      </c>
      <c r="F47" t="s">
        <v>1221</v>
      </c>
      <c r="G47" t="s">
        <v>1125</v>
      </c>
      <c r="H47" t="s">
        <v>1280</v>
      </c>
      <c r="I47">
        <v>10</v>
      </c>
      <c r="J47" t="s">
        <v>1281</v>
      </c>
      <c r="L47" t="s">
        <v>1282</v>
      </c>
    </row>
    <row r="48" spans="1:12" x14ac:dyDescent="0.3">
      <c r="A48" t="s">
        <v>1283</v>
      </c>
    </row>
    <row r="49" spans="1:12" x14ac:dyDescent="0.3">
      <c r="A49">
        <v>41</v>
      </c>
      <c r="B49" t="s">
        <v>1284</v>
      </c>
      <c r="C49" t="s">
        <v>1285</v>
      </c>
      <c r="D49" t="s">
        <v>1286</v>
      </c>
      <c r="E49" t="s">
        <v>1148</v>
      </c>
      <c r="F49" t="s">
        <v>1285</v>
      </c>
      <c r="H49" t="s">
        <v>1287</v>
      </c>
      <c r="I49">
        <v>5</v>
      </c>
      <c r="J49" t="s">
        <v>1152</v>
      </c>
      <c r="K49" t="s">
        <v>1288</v>
      </c>
      <c r="L49" t="s">
        <v>1289</v>
      </c>
    </row>
    <row r="50" spans="1:12" x14ac:dyDescent="0.3">
      <c r="A50">
        <v>42</v>
      </c>
      <c r="B50" t="s">
        <v>1284</v>
      </c>
      <c r="C50" t="s">
        <v>1285</v>
      </c>
      <c r="D50" t="s">
        <v>1290</v>
      </c>
      <c r="E50" t="s">
        <v>1148</v>
      </c>
      <c r="F50" t="s">
        <v>1285</v>
      </c>
      <c r="H50" t="s">
        <v>1291</v>
      </c>
      <c r="I50">
        <v>5</v>
      </c>
      <c r="J50" t="s">
        <v>1152</v>
      </c>
      <c r="K50" t="s">
        <v>1292</v>
      </c>
    </row>
    <row r="51" spans="1:12" x14ac:dyDescent="0.3">
      <c r="A51">
        <v>43</v>
      </c>
      <c r="B51" t="s">
        <v>1284</v>
      </c>
      <c r="C51" t="s">
        <v>1285</v>
      </c>
      <c r="D51" t="s">
        <v>1293</v>
      </c>
      <c r="E51" t="s">
        <v>1148</v>
      </c>
      <c r="F51" t="s">
        <v>1285</v>
      </c>
      <c r="H51" t="s">
        <v>1291</v>
      </c>
      <c r="I51">
        <v>5</v>
      </c>
      <c r="J51" t="s">
        <v>1152</v>
      </c>
    </row>
    <row r="52" spans="1:12" x14ac:dyDescent="0.3">
      <c r="A52">
        <v>44</v>
      </c>
      <c r="B52" t="s">
        <v>1284</v>
      </c>
      <c r="C52" t="s">
        <v>1285</v>
      </c>
      <c r="D52" t="s">
        <v>1294</v>
      </c>
      <c r="E52" t="s">
        <v>1148</v>
      </c>
      <c r="F52" t="s">
        <v>1285</v>
      </c>
      <c r="H52" t="s">
        <v>1295</v>
      </c>
      <c r="I52">
        <v>5</v>
      </c>
      <c r="J52" t="s">
        <v>1296</v>
      </c>
      <c r="K52" t="s">
        <v>1297</v>
      </c>
    </row>
    <row r="53" spans="1:12" x14ac:dyDescent="0.3">
      <c r="A53">
        <v>45</v>
      </c>
      <c r="B53" t="s">
        <v>1284</v>
      </c>
      <c r="C53" t="s">
        <v>1285</v>
      </c>
      <c r="D53" t="s">
        <v>1214</v>
      </c>
      <c r="E53" t="s">
        <v>1148</v>
      </c>
      <c r="F53" t="s">
        <v>1298</v>
      </c>
      <c r="G53" t="s">
        <v>1299</v>
      </c>
      <c r="H53" t="s">
        <v>1217</v>
      </c>
      <c r="I53">
        <v>10</v>
      </c>
      <c r="J53" t="s">
        <v>1152</v>
      </c>
      <c r="K53" t="s">
        <v>1218</v>
      </c>
      <c r="L53" t="s">
        <v>1300</v>
      </c>
    </row>
    <row r="54" spans="1:12" x14ac:dyDescent="0.3">
      <c r="A54">
        <v>46</v>
      </c>
      <c r="B54" t="s">
        <v>1284</v>
      </c>
      <c r="C54" t="s">
        <v>1285</v>
      </c>
      <c r="D54" t="s">
        <v>1301</v>
      </c>
      <c r="E54" t="s">
        <v>1148</v>
      </c>
      <c r="F54" t="s">
        <v>1285</v>
      </c>
      <c r="H54" t="s">
        <v>1287</v>
      </c>
      <c r="I54">
        <v>5</v>
      </c>
      <c r="J54" t="s">
        <v>1152</v>
      </c>
      <c r="K54" t="s">
        <v>1302</v>
      </c>
      <c r="L54" t="s">
        <v>1303</v>
      </c>
    </row>
    <row r="55" spans="1:12" x14ac:dyDescent="0.3">
      <c r="A55">
        <v>47</v>
      </c>
      <c r="B55" t="s">
        <v>1284</v>
      </c>
      <c r="C55" t="s">
        <v>1285</v>
      </c>
      <c r="D55" t="s">
        <v>6</v>
      </c>
      <c r="E55" t="s">
        <v>1148</v>
      </c>
      <c r="F55" t="s">
        <v>1285</v>
      </c>
      <c r="H55" t="s">
        <v>1287</v>
      </c>
      <c r="I55">
        <v>10</v>
      </c>
      <c r="J55" t="s">
        <v>1152</v>
      </c>
      <c r="K55" t="s">
        <v>1304</v>
      </c>
      <c r="L55" t="s">
        <v>1305</v>
      </c>
    </row>
    <row r="56" spans="1:12" x14ac:dyDescent="0.3">
      <c r="A56">
        <v>48</v>
      </c>
      <c r="B56" t="s">
        <v>1284</v>
      </c>
      <c r="C56" t="s">
        <v>1285</v>
      </c>
      <c r="D56" t="s">
        <v>1220</v>
      </c>
      <c r="E56" t="s">
        <v>1148</v>
      </c>
      <c r="F56" t="s">
        <v>1298</v>
      </c>
      <c r="G56" t="s">
        <v>1306</v>
      </c>
      <c r="H56" t="s">
        <v>1160</v>
      </c>
      <c r="I56">
        <v>10</v>
      </c>
      <c r="J56" t="s">
        <v>1152</v>
      </c>
      <c r="L56" t="s">
        <v>1307</v>
      </c>
    </row>
    <row r="57" spans="1:12" x14ac:dyDescent="0.3">
      <c r="A57">
        <v>49</v>
      </c>
      <c r="B57" t="s">
        <v>1284</v>
      </c>
      <c r="C57" t="s">
        <v>1285</v>
      </c>
      <c r="D57" t="s">
        <v>1308</v>
      </c>
      <c r="E57" t="s">
        <v>1148</v>
      </c>
      <c r="F57" t="s">
        <v>1285</v>
      </c>
      <c r="H57" t="s">
        <v>1291</v>
      </c>
      <c r="I57">
        <v>5</v>
      </c>
      <c r="J57" t="s">
        <v>1152</v>
      </c>
    </row>
    <row r="58" spans="1:12" x14ac:dyDescent="0.3">
      <c r="A58">
        <v>50</v>
      </c>
      <c r="B58" t="s">
        <v>1284</v>
      </c>
      <c r="C58" t="s">
        <v>1285</v>
      </c>
      <c r="D58" t="s">
        <v>1309</v>
      </c>
      <c r="E58" t="s">
        <v>1148</v>
      </c>
      <c r="F58" t="s">
        <v>1285</v>
      </c>
      <c r="H58" t="s">
        <v>1291</v>
      </c>
      <c r="I58">
        <v>5</v>
      </c>
      <c r="J58" t="s">
        <v>1152</v>
      </c>
    </row>
    <row r="59" spans="1:12" x14ac:dyDescent="0.3">
      <c r="A59">
        <v>51</v>
      </c>
      <c r="B59" t="s">
        <v>1284</v>
      </c>
      <c r="C59" t="s">
        <v>1285</v>
      </c>
      <c r="D59" t="s">
        <v>1310</v>
      </c>
      <c r="E59" t="s">
        <v>1148</v>
      </c>
      <c r="F59" t="s">
        <v>1285</v>
      </c>
      <c r="H59" t="s">
        <v>1291</v>
      </c>
      <c r="I59">
        <v>5</v>
      </c>
      <c r="J59" t="s">
        <v>1152</v>
      </c>
    </row>
    <row r="60" spans="1:12" x14ac:dyDescent="0.3">
      <c r="A60">
        <v>52</v>
      </c>
      <c r="B60" t="s">
        <v>1284</v>
      </c>
      <c r="C60" t="s">
        <v>1285</v>
      </c>
      <c r="D60" t="s">
        <v>1311</v>
      </c>
      <c r="E60" t="s">
        <v>1148</v>
      </c>
      <c r="F60" t="s">
        <v>1285</v>
      </c>
      <c r="H60" t="s">
        <v>1295</v>
      </c>
      <c r="I60">
        <v>5</v>
      </c>
      <c r="J60" t="s">
        <v>1296</v>
      </c>
      <c r="K60" t="s">
        <v>1312</v>
      </c>
      <c r="L60" t="s">
        <v>1313</v>
      </c>
    </row>
    <row r="61" spans="1:12" x14ac:dyDescent="0.3">
      <c r="A61">
        <v>53</v>
      </c>
      <c r="B61" t="s">
        <v>1284</v>
      </c>
      <c r="C61" t="s">
        <v>1285</v>
      </c>
      <c r="D61" t="s">
        <v>1226</v>
      </c>
      <c r="E61" t="s">
        <v>1148</v>
      </c>
      <c r="F61" t="s">
        <v>1298</v>
      </c>
      <c r="G61" t="s">
        <v>1227</v>
      </c>
      <c r="H61" t="s">
        <v>1217</v>
      </c>
      <c r="I61">
        <v>10</v>
      </c>
      <c r="J61" t="s">
        <v>1152</v>
      </c>
      <c r="K61" t="s">
        <v>1228</v>
      </c>
      <c r="L61" t="s">
        <v>1229</v>
      </c>
    </row>
    <row r="62" spans="1:12" x14ac:dyDescent="0.3">
      <c r="A62">
        <v>54</v>
      </c>
      <c r="B62" t="s">
        <v>1284</v>
      </c>
      <c r="C62" t="s">
        <v>1285</v>
      </c>
      <c r="D62" t="s">
        <v>1314</v>
      </c>
      <c r="E62" t="s">
        <v>1148</v>
      </c>
      <c r="F62" t="s">
        <v>1285</v>
      </c>
      <c r="H62" t="s">
        <v>1291</v>
      </c>
      <c r="I62">
        <v>5</v>
      </c>
      <c r="J62" t="s">
        <v>1152</v>
      </c>
    </row>
    <row r="63" spans="1:12" x14ac:dyDescent="0.3">
      <c r="A63" t="s">
        <v>1315</v>
      </c>
    </row>
    <row r="64" spans="1:12" x14ac:dyDescent="0.3">
      <c r="A64">
        <v>55</v>
      </c>
      <c r="B64" t="s">
        <v>1284</v>
      </c>
      <c r="C64" t="s">
        <v>1316</v>
      </c>
      <c r="D64" t="s">
        <v>1232</v>
      </c>
      <c r="E64" t="s">
        <v>1148</v>
      </c>
      <c r="F64" t="s">
        <v>1316</v>
      </c>
      <c r="G64" t="s">
        <v>1317</v>
      </c>
      <c r="H64" t="s">
        <v>1172</v>
      </c>
      <c r="I64">
        <v>5</v>
      </c>
      <c r="J64" t="s">
        <v>1318</v>
      </c>
      <c r="K64" t="s">
        <v>1236</v>
      </c>
    </row>
    <row r="65" spans="1:12" x14ac:dyDescent="0.3">
      <c r="A65">
        <v>56</v>
      </c>
      <c r="B65" t="s">
        <v>1284</v>
      </c>
      <c r="C65" t="s">
        <v>1316</v>
      </c>
      <c r="D65" t="s">
        <v>1202</v>
      </c>
      <c r="E65" t="s">
        <v>1148</v>
      </c>
      <c r="F65" t="s">
        <v>1316</v>
      </c>
      <c r="H65" t="s">
        <v>1172</v>
      </c>
      <c r="I65">
        <v>5</v>
      </c>
      <c r="J65" t="s">
        <v>1318</v>
      </c>
    </row>
    <row r="66" spans="1:12" x14ac:dyDescent="0.3">
      <c r="A66">
        <v>57</v>
      </c>
      <c r="B66" t="s">
        <v>1284</v>
      </c>
      <c r="C66" t="s">
        <v>1316</v>
      </c>
      <c r="D66" t="s">
        <v>1319</v>
      </c>
      <c r="E66" t="s">
        <v>1148</v>
      </c>
      <c r="F66" t="s">
        <v>1316</v>
      </c>
      <c r="H66" t="s">
        <v>1320</v>
      </c>
      <c r="I66">
        <v>5</v>
      </c>
      <c r="J66" t="s">
        <v>1318</v>
      </c>
      <c r="K66" t="s">
        <v>1321</v>
      </c>
      <c r="L66" t="s">
        <v>1322</v>
      </c>
    </row>
    <row r="67" spans="1:12" x14ac:dyDescent="0.3">
      <c r="A67">
        <v>58</v>
      </c>
      <c r="B67" t="s">
        <v>1284</v>
      </c>
      <c r="C67" t="s">
        <v>1316</v>
      </c>
      <c r="D67" t="s">
        <v>1237</v>
      </c>
      <c r="E67" t="s">
        <v>1148</v>
      </c>
      <c r="F67" t="s">
        <v>1316</v>
      </c>
      <c r="G67" t="s">
        <v>1323</v>
      </c>
      <c r="H67" t="s">
        <v>1172</v>
      </c>
      <c r="I67">
        <v>5</v>
      </c>
      <c r="J67" t="s">
        <v>1318</v>
      </c>
      <c r="K67" t="s">
        <v>1238</v>
      </c>
      <c r="L67" t="s">
        <v>1324</v>
      </c>
    </row>
    <row r="68" spans="1:12" x14ac:dyDescent="0.3">
      <c r="A68">
        <v>59</v>
      </c>
      <c r="B68" t="s">
        <v>1284</v>
      </c>
      <c r="C68" t="s">
        <v>1316</v>
      </c>
      <c r="D68" t="s">
        <v>1242</v>
      </c>
      <c r="E68" t="s">
        <v>1148</v>
      </c>
      <c r="F68" t="s">
        <v>1316</v>
      </c>
      <c r="G68" t="s">
        <v>1021</v>
      </c>
      <c r="H68" t="s">
        <v>1172</v>
      </c>
      <c r="I68">
        <v>5</v>
      </c>
      <c r="J68" t="s">
        <v>1318</v>
      </c>
      <c r="L68" t="s">
        <v>1243</v>
      </c>
    </row>
    <row r="69" spans="1:12" x14ac:dyDescent="0.3">
      <c r="A69">
        <v>60</v>
      </c>
      <c r="B69" t="s">
        <v>1284</v>
      </c>
      <c r="C69" t="s">
        <v>1316</v>
      </c>
      <c r="D69" t="s">
        <v>1210</v>
      </c>
      <c r="E69" t="s">
        <v>1148</v>
      </c>
      <c r="F69" t="s">
        <v>1316</v>
      </c>
      <c r="H69" t="s">
        <v>1172</v>
      </c>
      <c r="I69">
        <v>5</v>
      </c>
      <c r="J69" t="s">
        <v>1318</v>
      </c>
    </row>
    <row r="70" spans="1:12" x14ac:dyDescent="0.3">
      <c r="A70" t="s">
        <v>1325</v>
      </c>
    </row>
    <row r="71" spans="1:12" x14ac:dyDescent="0.3">
      <c r="A71">
        <v>61</v>
      </c>
      <c r="B71" t="s">
        <v>1284</v>
      </c>
      <c r="C71" t="s">
        <v>1326</v>
      </c>
      <c r="D71" t="s">
        <v>64</v>
      </c>
      <c r="E71" t="s">
        <v>1148</v>
      </c>
      <c r="F71" t="s">
        <v>1326</v>
      </c>
      <c r="H71" t="s">
        <v>1172</v>
      </c>
      <c r="I71">
        <v>10</v>
      </c>
      <c r="J71" t="s">
        <v>1327</v>
      </c>
    </row>
    <row r="72" spans="1:12" x14ac:dyDescent="0.3">
      <c r="A72">
        <v>62</v>
      </c>
      <c r="B72" t="s">
        <v>1284</v>
      </c>
      <c r="C72" t="s">
        <v>1326</v>
      </c>
      <c r="D72" t="s">
        <v>1328</v>
      </c>
      <c r="E72" t="s">
        <v>1148</v>
      </c>
      <c r="F72" t="s">
        <v>1326</v>
      </c>
      <c r="H72" t="s">
        <v>1160</v>
      </c>
      <c r="I72">
        <v>10</v>
      </c>
      <c r="J72" t="s">
        <v>1327</v>
      </c>
    </row>
    <row r="73" spans="1:12" x14ac:dyDescent="0.3">
      <c r="A73">
        <v>63</v>
      </c>
      <c r="B73" t="s">
        <v>1284</v>
      </c>
      <c r="C73" t="s">
        <v>1326</v>
      </c>
      <c r="D73" t="s">
        <v>1329</v>
      </c>
      <c r="E73" t="s">
        <v>1148</v>
      </c>
      <c r="F73" t="s">
        <v>1326</v>
      </c>
      <c r="H73" t="s">
        <v>1280</v>
      </c>
      <c r="I73">
        <v>10</v>
      </c>
      <c r="J73" t="s">
        <v>1327</v>
      </c>
      <c r="L73" t="s">
        <v>1330</v>
      </c>
    </row>
    <row r="74" spans="1:12" x14ac:dyDescent="0.3">
      <c r="A74">
        <v>64</v>
      </c>
      <c r="B74" t="s">
        <v>1284</v>
      </c>
      <c r="C74" t="s">
        <v>1326</v>
      </c>
      <c r="D74" t="s">
        <v>1331</v>
      </c>
      <c r="E74" t="s">
        <v>455</v>
      </c>
      <c r="F74" t="s">
        <v>1332</v>
      </c>
      <c r="G74" t="s">
        <v>456</v>
      </c>
      <c r="H74" t="s">
        <v>1333</v>
      </c>
      <c r="I74">
        <v>5</v>
      </c>
      <c r="J74" t="s">
        <v>1334</v>
      </c>
      <c r="K74" t="s">
        <v>1335</v>
      </c>
      <c r="L74" t="s">
        <v>1336</v>
      </c>
    </row>
    <row r="75" spans="1:12" x14ac:dyDescent="0.3">
      <c r="A75" t="s">
        <v>1337</v>
      </c>
    </row>
    <row r="76" spans="1:12" x14ac:dyDescent="0.3">
      <c r="A76">
        <v>65</v>
      </c>
      <c r="B76" t="s">
        <v>1284</v>
      </c>
      <c r="C76" t="s">
        <v>1338</v>
      </c>
      <c r="D76" t="s">
        <v>1248</v>
      </c>
      <c r="E76" t="s">
        <v>1148</v>
      </c>
      <c r="F76" t="s">
        <v>1338</v>
      </c>
      <c r="G76" t="s">
        <v>1250</v>
      </c>
      <c r="H76" t="s">
        <v>1157</v>
      </c>
      <c r="I76">
        <v>10</v>
      </c>
      <c r="J76" t="s">
        <v>1327</v>
      </c>
      <c r="L76" t="s">
        <v>1339</v>
      </c>
    </row>
    <row r="77" spans="1:12" x14ac:dyDescent="0.3">
      <c r="A77">
        <v>66</v>
      </c>
      <c r="B77" t="s">
        <v>1284</v>
      </c>
      <c r="C77" t="s">
        <v>1338</v>
      </c>
      <c r="D77" t="s">
        <v>1340</v>
      </c>
      <c r="E77" t="s">
        <v>1148</v>
      </c>
      <c r="F77" t="s">
        <v>1338</v>
      </c>
      <c r="H77" t="s">
        <v>1157</v>
      </c>
      <c r="I77">
        <v>10</v>
      </c>
      <c r="J77" t="s">
        <v>1327</v>
      </c>
    </row>
    <row r="78" spans="1:12" x14ac:dyDescent="0.3">
      <c r="A78">
        <v>67</v>
      </c>
      <c r="B78" t="s">
        <v>1284</v>
      </c>
      <c r="C78" t="s">
        <v>1338</v>
      </c>
      <c r="D78" t="s">
        <v>1341</v>
      </c>
      <c r="E78" t="s">
        <v>1148</v>
      </c>
      <c r="F78" t="s">
        <v>1338</v>
      </c>
      <c r="H78" t="s">
        <v>1157</v>
      </c>
      <c r="I78">
        <v>10</v>
      </c>
      <c r="J78" t="s">
        <v>1327</v>
      </c>
    </row>
    <row r="79" spans="1:12" x14ac:dyDescent="0.3">
      <c r="A79">
        <v>68</v>
      </c>
      <c r="B79" t="s">
        <v>1284</v>
      </c>
      <c r="C79" t="s">
        <v>1338</v>
      </c>
      <c r="D79" t="s">
        <v>1245</v>
      </c>
      <c r="E79" t="s">
        <v>1148</v>
      </c>
      <c r="F79" t="s">
        <v>1338</v>
      </c>
      <c r="H79" t="s">
        <v>1157</v>
      </c>
      <c r="I79">
        <v>10</v>
      </c>
      <c r="J79" t="s">
        <v>1327</v>
      </c>
    </row>
    <row r="80" spans="1:12" x14ac:dyDescent="0.3">
      <c r="A80">
        <v>69</v>
      </c>
      <c r="B80" t="s">
        <v>1284</v>
      </c>
      <c r="C80" t="s">
        <v>1338</v>
      </c>
      <c r="D80" t="s">
        <v>1342</v>
      </c>
      <c r="E80" t="s">
        <v>1148</v>
      </c>
      <c r="F80" t="s">
        <v>1338</v>
      </c>
      <c r="H80" t="s">
        <v>1157</v>
      </c>
      <c r="I80">
        <v>10</v>
      </c>
      <c r="J80" t="s">
        <v>1327</v>
      </c>
    </row>
    <row r="81" spans="1:12" x14ac:dyDescent="0.3">
      <c r="A81" t="s">
        <v>1343</v>
      </c>
    </row>
    <row r="82" spans="1:12" x14ac:dyDescent="0.3">
      <c r="A82">
        <v>70</v>
      </c>
      <c r="B82" t="s">
        <v>1284</v>
      </c>
      <c r="C82" t="s">
        <v>1344</v>
      </c>
      <c r="D82" t="s">
        <v>1248</v>
      </c>
      <c r="E82" t="s">
        <v>1148</v>
      </c>
      <c r="F82" t="s">
        <v>1344</v>
      </c>
      <c r="G82" t="s">
        <v>1250</v>
      </c>
      <c r="H82" t="s">
        <v>1157</v>
      </c>
      <c r="I82">
        <v>10</v>
      </c>
      <c r="J82" t="s">
        <v>1327</v>
      </c>
      <c r="L82" t="s">
        <v>1345</v>
      </c>
    </row>
    <row r="83" spans="1:12" x14ac:dyDescent="0.3">
      <c r="A83">
        <v>71</v>
      </c>
      <c r="B83" t="s">
        <v>1284</v>
      </c>
      <c r="C83" t="s">
        <v>1344</v>
      </c>
      <c r="D83" t="s">
        <v>1346</v>
      </c>
      <c r="E83" t="s">
        <v>1148</v>
      </c>
      <c r="F83" t="s">
        <v>1344</v>
      </c>
      <c r="H83" t="s">
        <v>1157</v>
      </c>
      <c r="I83">
        <v>10</v>
      </c>
      <c r="J83" t="s">
        <v>1327</v>
      </c>
    </row>
    <row r="84" spans="1:12" x14ac:dyDescent="0.3">
      <c r="A84">
        <v>72</v>
      </c>
      <c r="B84" t="s">
        <v>1284</v>
      </c>
      <c r="C84" t="s">
        <v>1344</v>
      </c>
      <c r="D84" t="s">
        <v>1245</v>
      </c>
      <c r="E84" t="s">
        <v>1148</v>
      </c>
      <c r="F84" t="s">
        <v>1344</v>
      </c>
      <c r="H84" t="s">
        <v>1157</v>
      </c>
      <c r="I84">
        <v>10</v>
      </c>
      <c r="J84" t="s">
        <v>1327</v>
      </c>
    </row>
    <row r="85" spans="1:12" x14ac:dyDescent="0.3">
      <c r="A85">
        <v>73</v>
      </c>
      <c r="B85" t="s">
        <v>1284</v>
      </c>
      <c r="C85" t="s">
        <v>1344</v>
      </c>
      <c r="D85" t="s">
        <v>1347</v>
      </c>
      <c r="E85" t="s">
        <v>1148</v>
      </c>
      <c r="F85" t="s">
        <v>1344</v>
      </c>
      <c r="H85" t="s">
        <v>1157</v>
      </c>
      <c r="I85">
        <v>5</v>
      </c>
      <c r="J85" t="s">
        <v>1327</v>
      </c>
    </row>
    <row r="86" spans="1:12" x14ac:dyDescent="0.3">
      <c r="A86">
        <v>74</v>
      </c>
      <c r="B86" t="s">
        <v>1284</v>
      </c>
      <c r="C86" t="s">
        <v>1344</v>
      </c>
      <c r="D86" t="s">
        <v>1348</v>
      </c>
      <c r="E86" t="s">
        <v>1148</v>
      </c>
      <c r="F86" t="s">
        <v>1344</v>
      </c>
      <c r="H86" t="s">
        <v>1157</v>
      </c>
      <c r="I86">
        <v>5</v>
      </c>
      <c r="J86" t="s">
        <v>1327</v>
      </c>
    </row>
    <row r="87" spans="1:12" x14ac:dyDescent="0.3">
      <c r="A87" t="s">
        <v>1349</v>
      </c>
    </row>
    <row r="88" spans="1:12" x14ac:dyDescent="0.3">
      <c r="A88">
        <v>75</v>
      </c>
      <c r="B88" t="s">
        <v>1284</v>
      </c>
      <c r="C88" t="s">
        <v>1350</v>
      </c>
      <c r="D88" t="s">
        <v>1351</v>
      </c>
      <c r="E88" t="s">
        <v>1148</v>
      </c>
      <c r="F88" t="s">
        <v>1350</v>
      </c>
      <c r="G88" t="s">
        <v>1148</v>
      </c>
      <c r="H88" t="s">
        <v>1148</v>
      </c>
      <c r="I88">
        <v>2</v>
      </c>
      <c r="J88" t="s">
        <v>1352</v>
      </c>
      <c r="L88" t="s">
        <v>1353</v>
      </c>
    </row>
    <row r="89" spans="1:12" x14ac:dyDescent="0.3">
      <c r="A89" t="s">
        <v>1354</v>
      </c>
    </row>
    <row r="90" spans="1:12" x14ac:dyDescent="0.3">
      <c r="A90">
        <v>76</v>
      </c>
      <c r="B90" t="s">
        <v>1284</v>
      </c>
      <c r="C90" t="s">
        <v>1355</v>
      </c>
      <c r="D90" t="s">
        <v>1356</v>
      </c>
      <c r="E90" t="s">
        <v>1148</v>
      </c>
      <c r="F90" t="s">
        <v>1355</v>
      </c>
      <c r="H90" t="s">
        <v>1157</v>
      </c>
      <c r="I90">
        <v>5</v>
      </c>
      <c r="J90" t="s">
        <v>1357</v>
      </c>
    </row>
    <row r="91" spans="1:12" x14ac:dyDescent="0.3">
      <c r="A91">
        <v>77</v>
      </c>
      <c r="B91" t="s">
        <v>1284</v>
      </c>
      <c r="C91" t="s">
        <v>1355</v>
      </c>
      <c r="D91" t="s">
        <v>1358</v>
      </c>
      <c r="E91" t="s">
        <v>1148</v>
      </c>
      <c r="F91" t="s">
        <v>1359</v>
      </c>
      <c r="H91" t="s">
        <v>1157</v>
      </c>
      <c r="I91">
        <v>10</v>
      </c>
      <c r="J91" t="s">
        <v>1357</v>
      </c>
    </row>
    <row r="92" spans="1:12" x14ac:dyDescent="0.3">
      <c r="A92">
        <v>78</v>
      </c>
      <c r="B92" t="s">
        <v>1284</v>
      </c>
      <c r="C92" t="s">
        <v>1355</v>
      </c>
      <c r="D92" t="s">
        <v>1360</v>
      </c>
      <c r="E92" t="s">
        <v>1148</v>
      </c>
      <c r="F92" t="s">
        <v>1355</v>
      </c>
      <c r="H92" t="s">
        <v>1157</v>
      </c>
      <c r="I92">
        <v>5</v>
      </c>
      <c r="J92" t="s">
        <v>1357</v>
      </c>
    </row>
    <row r="93" spans="1:12" x14ac:dyDescent="0.3">
      <c r="A93">
        <v>79</v>
      </c>
      <c r="B93" t="s">
        <v>1284</v>
      </c>
      <c r="C93" t="s">
        <v>1355</v>
      </c>
      <c r="D93" t="s">
        <v>1361</v>
      </c>
      <c r="E93" t="s">
        <v>1148</v>
      </c>
      <c r="F93" t="s">
        <v>1359</v>
      </c>
      <c r="H93" t="s">
        <v>1157</v>
      </c>
      <c r="I93">
        <v>5</v>
      </c>
      <c r="J93" t="s">
        <v>1357</v>
      </c>
    </row>
    <row r="94" spans="1:12" x14ac:dyDescent="0.3">
      <c r="A94">
        <v>80</v>
      </c>
      <c r="B94" t="s">
        <v>1284</v>
      </c>
      <c r="C94" t="s">
        <v>1355</v>
      </c>
      <c r="D94" t="s">
        <v>1362</v>
      </c>
      <c r="E94" t="s">
        <v>1148</v>
      </c>
      <c r="F94" t="s">
        <v>1359</v>
      </c>
      <c r="H94" t="s">
        <v>1157</v>
      </c>
      <c r="I94">
        <v>5</v>
      </c>
      <c r="J94" t="s">
        <v>1357</v>
      </c>
    </row>
    <row r="95" spans="1:12" x14ac:dyDescent="0.3">
      <c r="A95">
        <v>81</v>
      </c>
      <c r="B95" t="s">
        <v>1284</v>
      </c>
      <c r="C95" t="s">
        <v>1355</v>
      </c>
      <c r="D95" t="s">
        <v>1363</v>
      </c>
      <c r="E95" t="s">
        <v>1148</v>
      </c>
      <c r="F95" t="s">
        <v>1355</v>
      </c>
      <c r="H95" t="s">
        <v>1157</v>
      </c>
      <c r="I95">
        <v>5</v>
      </c>
      <c r="J95" t="s">
        <v>1357</v>
      </c>
    </row>
    <row r="96" spans="1:12" x14ac:dyDescent="0.3">
      <c r="A96">
        <v>82</v>
      </c>
      <c r="B96" t="s">
        <v>1284</v>
      </c>
      <c r="C96" t="s">
        <v>1355</v>
      </c>
      <c r="D96" t="s">
        <v>1364</v>
      </c>
      <c r="E96" t="s">
        <v>1148</v>
      </c>
      <c r="F96" t="s">
        <v>1365</v>
      </c>
      <c r="H96" t="s">
        <v>1157</v>
      </c>
      <c r="I96">
        <v>5</v>
      </c>
      <c r="J96" t="s">
        <v>1357</v>
      </c>
      <c r="L96" t="s">
        <v>1366</v>
      </c>
    </row>
    <row r="97" spans="1:12" x14ac:dyDescent="0.3">
      <c r="A97" t="s">
        <v>1367</v>
      </c>
    </row>
    <row r="98" spans="1:12" x14ac:dyDescent="0.3">
      <c r="A98">
        <v>83</v>
      </c>
      <c r="B98" t="s">
        <v>1284</v>
      </c>
      <c r="C98" t="s">
        <v>1368</v>
      </c>
      <c r="D98" t="s">
        <v>1369</v>
      </c>
      <c r="E98" t="s">
        <v>1370</v>
      </c>
      <c r="F98" t="s">
        <v>1368</v>
      </c>
      <c r="G98" t="s">
        <v>1148</v>
      </c>
      <c r="H98" t="s">
        <v>1148</v>
      </c>
      <c r="I98">
        <v>1</v>
      </c>
      <c r="J98" t="s">
        <v>1371</v>
      </c>
      <c r="K98" t="s">
        <v>1372</v>
      </c>
      <c r="L98" t="s">
        <v>1373</v>
      </c>
    </row>
    <row r="99" spans="1:12" x14ac:dyDescent="0.3">
      <c r="A99">
        <v>84</v>
      </c>
      <c r="B99" t="s">
        <v>1284</v>
      </c>
      <c r="C99" t="s">
        <v>1368</v>
      </c>
      <c r="D99" t="s">
        <v>1374</v>
      </c>
      <c r="E99" t="s">
        <v>1375</v>
      </c>
      <c r="F99" t="s">
        <v>1368</v>
      </c>
      <c r="G99" t="s">
        <v>1148</v>
      </c>
      <c r="H99" t="s">
        <v>1148</v>
      </c>
      <c r="I99">
        <v>1</v>
      </c>
      <c r="J99" t="s">
        <v>1371</v>
      </c>
      <c r="L99" t="s">
        <v>1376</v>
      </c>
    </row>
    <row r="100" spans="1:12" x14ac:dyDescent="0.3">
      <c r="A100" t="s">
        <v>1377</v>
      </c>
    </row>
    <row r="101" spans="1:12" x14ac:dyDescent="0.3">
      <c r="A101">
        <v>85</v>
      </c>
      <c r="B101" t="s">
        <v>1284</v>
      </c>
      <c r="C101" t="s">
        <v>1378</v>
      </c>
      <c r="D101" t="s">
        <v>1379</v>
      </c>
      <c r="E101" t="s">
        <v>636</v>
      </c>
      <c r="F101" t="s">
        <v>1380</v>
      </c>
      <c r="G101" t="s">
        <v>1148</v>
      </c>
      <c r="H101" t="s">
        <v>1169</v>
      </c>
      <c r="I101">
        <v>5</v>
      </c>
      <c r="J101" t="s">
        <v>1152</v>
      </c>
      <c r="L101" t="s">
        <v>1381</v>
      </c>
    </row>
    <row r="102" spans="1:12" x14ac:dyDescent="0.3">
      <c r="A102">
        <v>86</v>
      </c>
      <c r="B102" t="s">
        <v>1284</v>
      </c>
      <c r="C102" t="s">
        <v>1378</v>
      </c>
      <c r="D102" t="s">
        <v>1382</v>
      </c>
      <c r="E102" t="s">
        <v>1148</v>
      </c>
      <c r="F102" t="s">
        <v>1383</v>
      </c>
      <c r="H102" t="s">
        <v>1157</v>
      </c>
      <c r="I102">
        <v>10</v>
      </c>
      <c r="J102" t="s">
        <v>1327</v>
      </c>
      <c r="K102" t="s">
        <v>1384</v>
      </c>
    </row>
    <row r="103" spans="1:12" x14ac:dyDescent="0.3">
      <c r="A103">
        <v>87</v>
      </c>
      <c r="B103" t="s">
        <v>1284</v>
      </c>
      <c r="C103" t="s">
        <v>1378</v>
      </c>
      <c r="D103" t="s">
        <v>1358</v>
      </c>
      <c r="E103" t="s">
        <v>1148</v>
      </c>
      <c r="F103" t="s">
        <v>1385</v>
      </c>
      <c r="H103" t="s">
        <v>1157</v>
      </c>
      <c r="I103">
        <v>10</v>
      </c>
      <c r="J103" t="s">
        <v>1327</v>
      </c>
      <c r="K103" t="s">
        <v>1384</v>
      </c>
    </row>
    <row r="104" spans="1:12" x14ac:dyDescent="0.3">
      <c r="A104">
        <v>88</v>
      </c>
      <c r="B104" t="s">
        <v>1284</v>
      </c>
      <c r="C104" t="s">
        <v>1378</v>
      </c>
      <c r="D104" t="s">
        <v>1386</v>
      </c>
      <c r="E104" t="s">
        <v>1148</v>
      </c>
      <c r="F104" t="s">
        <v>1385</v>
      </c>
      <c r="H104" t="s">
        <v>1157</v>
      </c>
      <c r="I104">
        <v>10</v>
      </c>
      <c r="J104" t="s">
        <v>1327</v>
      </c>
      <c r="K104" t="s">
        <v>1384</v>
      </c>
    </row>
    <row r="105" spans="1:12" x14ac:dyDescent="0.3">
      <c r="A105">
        <v>89</v>
      </c>
      <c r="B105" t="s">
        <v>1284</v>
      </c>
      <c r="C105" t="s">
        <v>1378</v>
      </c>
      <c r="D105" t="s">
        <v>1387</v>
      </c>
      <c r="E105" t="s">
        <v>1148</v>
      </c>
      <c r="F105" t="s">
        <v>1388</v>
      </c>
      <c r="H105" t="s">
        <v>1151</v>
      </c>
      <c r="I105">
        <v>10</v>
      </c>
      <c r="J105" t="s">
        <v>1327</v>
      </c>
      <c r="K105" t="s">
        <v>1384</v>
      </c>
    </row>
    <row r="106" spans="1:12" x14ac:dyDescent="0.3">
      <c r="A106">
        <v>90</v>
      </c>
      <c r="B106" t="s">
        <v>1284</v>
      </c>
      <c r="C106" t="s">
        <v>1378</v>
      </c>
      <c r="D106" t="s">
        <v>1389</v>
      </c>
      <c r="E106" t="s">
        <v>1148</v>
      </c>
      <c r="F106" t="s">
        <v>1390</v>
      </c>
      <c r="H106" t="s">
        <v>1151</v>
      </c>
      <c r="I106">
        <v>10</v>
      </c>
      <c r="J106" t="s">
        <v>1327</v>
      </c>
      <c r="K106" t="s">
        <v>1384</v>
      </c>
    </row>
    <row r="107" spans="1:12" x14ac:dyDescent="0.3">
      <c r="A107">
        <v>91</v>
      </c>
      <c r="B107" t="s">
        <v>1284</v>
      </c>
      <c r="C107" t="s">
        <v>1378</v>
      </c>
      <c r="D107" t="s">
        <v>1340</v>
      </c>
      <c r="E107" t="s">
        <v>1148</v>
      </c>
      <c r="F107" t="s">
        <v>1380</v>
      </c>
      <c r="H107" t="s">
        <v>1157</v>
      </c>
      <c r="I107">
        <v>10</v>
      </c>
      <c r="J107" t="s">
        <v>1327</v>
      </c>
      <c r="K107" t="s">
        <v>1384</v>
      </c>
    </row>
    <row r="108" spans="1:12" x14ac:dyDescent="0.3">
      <c r="A108">
        <v>92</v>
      </c>
      <c r="B108" t="s">
        <v>1284</v>
      </c>
      <c r="C108" t="s">
        <v>1378</v>
      </c>
      <c r="D108" t="s">
        <v>1391</v>
      </c>
      <c r="E108" t="s">
        <v>1148</v>
      </c>
      <c r="F108" t="s">
        <v>1392</v>
      </c>
      <c r="H108" t="s">
        <v>1151</v>
      </c>
      <c r="I108">
        <v>10</v>
      </c>
      <c r="J108" t="s">
        <v>1327</v>
      </c>
      <c r="K108" t="s">
        <v>1384</v>
      </c>
    </row>
    <row r="109" spans="1:12" x14ac:dyDescent="0.3">
      <c r="A109">
        <v>93</v>
      </c>
      <c r="B109" t="s">
        <v>1284</v>
      </c>
      <c r="C109" t="s">
        <v>1378</v>
      </c>
      <c r="D109" t="s">
        <v>1329</v>
      </c>
      <c r="E109" t="s">
        <v>1148</v>
      </c>
      <c r="F109" t="s">
        <v>1383</v>
      </c>
      <c r="H109" t="s">
        <v>1151</v>
      </c>
      <c r="I109">
        <v>10</v>
      </c>
      <c r="J109" t="s">
        <v>1327</v>
      </c>
      <c r="K109" t="s">
        <v>1384</v>
      </c>
      <c r="L109" t="s">
        <v>1393</v>
      </c>
    </row>
    <row r="110" spans="1:12" x14ac:dyDescent="0.3">
      <c r="A110">
        <v>94</v>
      </c>
      <c r="B110" t="s">
        <v>1284</v>
      </c>
      <c r="C110" t="s">
        <v>1378</v>
      </c>
      <c r="D110" t="s">
        <v>1394</v>
      </c>
      <c r="E110" t="s">
        <v>1148</v>
      </c>
      <c r="F110" t="s">
        <v>1390</v>
      </c>
      <c r="H110" t="s">
        <v>1151</v>
      </c>
      <c r="I110">
        <v>10</v>
      </c>
      <c r="J110" t="s">
        <v>1327</v>
      </c>
      <c r="K110" t="s">
        <v>1384</v>
      </c>
      <c r="L110" t="s">
        <v>1395</v>
      </c>
    </row>
    <row r="111" spans="1:12" x14ac:dyDescent="0.3">
      <c r="A111">
        <v>95</v>
      </c>
      <c r="B111" t="s">
        <v>1284</v>
      </c>
      <c r="C111" t="s">
        <v>1378</v>
      </c>
      <c r="D111" t="s">
        <v>1396</v>
      </c>
      <c r="E111" t="s">
        <v>1148</v>
      </c>
      <c r="F111" t="s">
        <v>1392</v>
      </c>
      <c r="G111" t="s">
        <v>1148</v>
      </c>
      <c r="H111" t="s">
        <v>1397</v>
      </c>
      <c r="I111">
        <v>5</v>
      </c>
      <c r="J111" t="s">
        <v>1398</v>
      </c>
      <c r="L111" t="s">
        <v>1399</v>
      </c>
    </row>
    <row r="112" spans="1:12" x14ac:dyDescent="0.3">
      <c r="A112" t="s">
        <v>1400</v>
      </c>
    </row>
    <row r="113" spans="1:12" x14ac:dyDescent="0.3">
      <c r="A113">
        <v>96</v>
      </c>
      <c r="B113" t="s">
        <v>1284</v>
      </c>
      <c r="C113" t="s">
        <v>1401</v>
      </c>
      <c r="D113" t="s">
        <v>1382</v>
      </c>
      <c r="E113" t="s">
        <v>1148</v>
      </c>
      <c r="F113" t="s">
        <v>1402</v>
      </c>
      <c r="H113" t="s">
        <v>1157</v>
      </c>
      <c r="I113">
        <v>20</v>
      </c>
      <c r="J113" t="s">
        <v>1318</v>
      </c>
      <c r="K113" t="s">
        <v>1403</v>
      </c>
    </row>
    <row r="114" spans="1:12" x14ac:dyDescent="0.3">
      <c r="A114">
        <v>97</v>
      </c>
      <c r="B114" t="s">
        <v>1284</v>
      </c>
      <c r="C114" t="s">
        <v>1401</v>
      </c>
      <c r="D114" t="s">
        <v>1358</v>
      </c>
      <c r="E114" t="s">
        <v>1148</v>
      </c>
      <c r="F114" t="s">
        <v>1402</v>
      </c>
      <c r="H114" t="s">
        <v>1157</v>
      </c>
      <c r="I114">
        <v>20</v>
      </c>
      <c r="J114" t="s">
        <v>1318</v>
      </c>
      <c r="K114" t="s">
        <v>1403</v>
      </c>
    </row>
    <row r="115" spans="1:12" x14ac:dyDescent="0.3">
      <c r="A115">
        <v>98</v>
      </c>
      <c r="B115" t="s">
        <v>1284</v>
      </c>
      <c r="C115" t="s">
        <v>1401</v>
      </c>
      <c r="D115" t="s">
        <v>1404</v>
      </c>
      <c r="E115" t="s">
        <v>1148</v>
      </c>
      <c r="F115" t="s">
        <v>1402</v>
      </c>
      <c r="H115" t="s">
        <v>1160</v>
      </c>
      <c r="I115">
        <v>20</v>
      </c>
      <c r="J115" t="s">
        <v>1318</v>
      </c>
      <c r="K115" t="s">
        <v>1403</v>
      </c>
      <c r="L115" t="s">
        <v>1405</v>
      </c>
    </row>
    <row r="116" spans="1:12" x14ac:dyDescent="0.3">
      <c r="A116">
        <v>99</v>
      </c>
      <c r="B116" t="s">
        <v>1284</v>
      </c>
      <c r="C116" t="s">
        <v>1401</v>
      </c>
      <c r="D116" t="s">
        <v>1361</v>
      </c>
      <c r="E116" t="s">
        <v>1148</v>
      </c>
      <c r="F116" t="s">
        <v>1402</v>
      </c>
      <c r="H116" t="s">
        <v>1157</v>
      </c>
      <c r="I116">
        <v>20</v>
      </c>
      <c r="J116" t="s">
        <v>1318</v>
      </c>
      <c r="K116" t="s">
        <v>1403</v>
      </c>
    </row>
    <row r="117" spans="1:12" x14ac:dyDescent="0.3">
      <c r="A117">
        <v>100</v>
      </c>
      <c r="B117" t="s">
        <v>1284</v>
      </c>
      <c r="C117" t="s">
        <v>1401</v>
      </c>
      <c r="D117" t="s">
        <v>1362</v>
      </c>
      <c r="E117" t="s">
        <v>1148</v>
      </c>
      <c r="F117" t="s">
        <v>1402</v>
      </c>
      <c r="H117" t="s">
        <v>1157</v>
      </c>
      <c r="I117">
        <v>20</v>
      </c>
      <c r="J117" t="s">
        <v>1318</v>
      </c>
      <c r="K117" t="s">
        <v>1403</v>
      </c>
      <c r="L117" t="s">
        <v>1406</v>
      </c>
    </row>
    <row r="118" spans="1:12" x14ac:dyDescent="0.3">
      <c r="A118">
        <v>101</v>
      </c>
      <c r="B118" t="s">
        <v>1284</v>
      </c>
      <c r="C118" t="s">
        <v>1401</v>
      </c>
      <c r="D118" t="s">
        <v>1340</v>
      </c>
      <c r="E118" t="s">
        <v>1148</v>
      </c>
      <c r="F118" t="s">
        <v>1402</v>
      </c>
      <c r="H118" t="s">
        <v>1157</v>
      </c>
      <c r="I118">
        <v>20</v>
      </c>
      <c r="J118" t="s">
        <v>1318</v>
      </c>
      <c r="K118" t="s">
        <v>1403</v>
      </c>
    </row>
    <row r="119" spans="1:12" x14ac:dyDescent="0.3">
      <c r="A119">
        <v>102</v>
      </c>
      <c r="B119" t="s">
        <v>1284</v>
      </c>
      <c r="C119" t="s">
        <v>1401</v>
      </c>
      <c r="D119" t="s">
        <v>1407</v>
      </c>
      <c r="E119" t="s">
        <v>1148</v>
      </c>
      <c r="F119" t="s">
        <v>1408</v>
      </c>
      <c r="H119" t="s">
        <v>1409</v>
      </c>
      <c r="I119">
        <v>20</v>
      </c>
      <c r="J119" t="s">
        <v>1318</v>
      </c>
      <c r="K119" t="s">
        <v>1410</v>
      </c>
    </row>
    <row r="120" spans="1:12" x14ac:dyDescent="0.3">
      <c r="A120">
        <v>103</v>
      </c>
      <c r="B120" t="s">
        <v>1284</v>
      </c>
      <c r="C120" t="s">
        <v>1401</v>
      </c>
      <c r="D120" t="s">
        <v>1411</v>
      </c>
      <c r="E120" t="s">
        <v>1148</v>
      </c>
      <c r="F120" t="s">
        <v>1402</v>
      </c>
      <c r="H120" t="s">
        <v>1157</v>
      </c>
      <c r="I120">
        <v>20</v>
      </c>
      <c r="J120" t="s">
        <v>1318</v>
      </c>
      <c r="K120" t="s">
        <v>1403</v>
      </c>
    </row>
    <row r="121" spans="1:12" x14ac:dyDescent="0.3">
      <c r="A121" t="s">
        <v>1412</v>
      </c>
    </row>
    <row r="122" spans="1:12" x14ac:dyDescent="0.3">
      <c r="A122">
        <v>104</v>
      </c>
      <c r="B122" t="s">
        <v>1284</v>
      </c>
      <c r="C122" t="s">
        <v>1413</v>
      </c>
      <c r="D122" t="s">
        <v>1389</v>
      </c>
      <c r="E122" t="s">
        <v>1148</v>
      </c>
      <c r="F122" t="s">
        <v>1414</v>
      </c>
      <c r="H122" t="s">
        <v>1151</v>
      </c>
      <c r="I122">
        <v>10</v>
      </c>
      <c r="J122" t="s">
        <v>1415</v>
      </c>
    </row>
    <row r="123" spans="1:12" x14ac:dyDescent="0.3">
      <c r="A123">
        <v>105</v>
      </c>
      <c r="B123" t="s">
        <v>1284</v>
      </c>
      <c r="C123" t="s">
        <v>1413</v>
      </c>
      <c r="D123" t="s">
        <v>1252</v>
      </c>
      <c r="E123" t="s">
        <v>1148</v>
      </c>
      <c r="F123" t="s">
        <v>1416</v>
      </c>
      <c r="G123" t="s">
        <v>1417</v>
      </c>
      <c r="H123" t="s">
        <v>1151</v>
      </c>
      <c r="I123">
        <v>10</v>
      </c>
      <c r="J123" t="s">
        <v>1415</v>
      </c>
      <c r="L123" t="s">
        <v>1418</v>
      </c>
    </row>
    <row r="124" spans="1:12" x14ac:dyDescent="0.3">
      <c r="A124">
        <v>106</v>
      </c>
      <c r="B124" t="s">
        <v>1284</v>
      </c>
      <c r="C124" t="s">
        <v>1413</v>
      </c>
      <c r="D124" t="s">
        <v>1419</v>
      </c>
      <c r="E124" t="s">
        <v>1148</v>
      </c>
      <c r="F124" t="s">
        <v>1420</v>
      </c>
      <c r="H124" t="s">
        <v>1151</v>
      </c>
      <c r="I124">
        <v>10</v>
      </c>
      <c r="J124" t="s">
        <v>1415</v>
      </c>
      <c r="L124" t="s">
        <v>1273</v>
      </c>
    </row>
    <row r="125" spans="1:12" x14ac:dyDescent="0.3">
      <c r="A125">
        <v>107</v>
      </c>
      <c r="B125" t="s">
        <v>1284</v>
      </c>
      <c r="C125" t="s">
        <v>1413</v>
      </c>
      <c r="D125" t="s">
        <v>1340</v>
      </c>
      <c r="E125" t="s">
        <v>1148</v>
      </c>
      <c r="F125" t="s">
        <v>1420</v>
      </c>
      <c r="H125" t="s">
        <v>1157</v>
      </c>
      <c r="I125">
        <v>10</v>
      </c>
      <c r="J125" t="s">
        <v>1415</v>
      </c>
    </row>
    <row r="126" spans="1:12" x14ac:dyDescent="0.3">
      <c r="A126">
        <v>108</v>
      </c>
      <c r="B126" t="s">
        <v>1284</v>
      </c>
      <c r="C126" t="s">
        <v>1413</v>
      </c>
      <c r="D126" t="s">
        <v>1279</v>
      </c>
      <c r="E126" t="s">
        <v>1148</v>
      </c>
      <c r="F126" t="s">
        <v>1414</v>
      </c>
      <c r="G126" t="s">
        <v>1421</v>
      </c>
      <c r="H126" t="s">
        <v>1280</v>
      </c>
      <c r="I126">
        <v>10</v>
      </c>
      <c r="J126" t="s">
        <v>1415</v>
      </c>
      <c r="L126" t="s">
        <v>1422</v>
      </c>
    </row>
    <row r="127" spans="1:12" x14ac:dyDescent="0.3">
      <c r="A127">
        <v>109</v>
      </c>
      <c r="B127" t="s">
        <v>1284</v>
      </c>
      <c r="C127" t="s">
        <v>1413</v>
      </c>
      <c r="D127" t="s">
        <v>1329</v>
      </c>
      <c r="E127" t="s">
        <v>1148</v>
      </c>
      <c r="F127" t="s">
        <v>1423</v>
      </c>
      <c r="H127" t="s">
        <v>1151</v>
      </c>
      <c r="I127">
        <v>10</v>
      </c>
      <c r="J127" t="s">
        <v>1415</v>
      </c>
    </row>
    <row r="128" spans="1:12" x14ac:dyDescent="0.3">
      <c r="A128">
        <v>110</v>
      </c>
      <c r="B128" t="s">
        <v>1284</v>
      </c>
      <c r="C128" t="s">
        <v>1413</v>
      </c>
      <c r="D128" t="s">
        <v>1424</v>
      </c>
      <c r="E128" t="s">
        <v>1148</v>
      </c>
      <c r="F128" t="s">
        <v>1425</v>
      </c>
      <c r="H128" t="s">
        <v>1217</v>
      </c>
      <c r="I128">
        <v>5</v>
      </c>
      <c r="J128" t="s">
        <v>1415</v>
      </c>
      <c r="L128" t="s">
        <v>1426</v>
      </c>
    </row>
    <row r="129" spans="1:12" x14ac:dyDescent="0.3">
      <c r="A129">
        <v>111</v>
      </c>
      <c r="B129" t="s">
        <v>1284</v>
      </c>
      <c r="C129" t="s">
        <v>1413</v>
      </c>
      <c r="D129" t="s">
        <v>1214</v>
      </c>
      <c r="E129" t="s">
        <v>1148</v>
      </c>
      <c r="F129" t="s">
        <v>1420</v>
      </c>
      <c r="G129" t="s">
        <v>1299</v>
      </c>
      <c r="H129" t="s">
        <v>1217</v>
      </c>
      <c r="I129">
        <v>10</v>
      </c>
      <c r="J129" t="s">
        <v>1415</v>
      </c>
      <c r="L129" t="s">
        <v>1427</v>
      </c>
    </row>
    <row r="130" spans="1:12" x14ac:dyDescent="0.3">
      <c r="A130">
        <v>112</v>
      </c>
      <c r="B130" t="s">
        <v>1284</v>
      </c>
      <c r="C130" t="s">
        <v>1413</v>
      </c>
      <c r="D130" t="s">
        <v>1220</v>
      </c>
      <c r="E130" t="s">
        <v>1148</v>
      </c>
      <c r="F130" t="s">
        <v>1420</v>
      </c>
      <c r="G130" t="s">
        <v>1306</v>
      </c>
      <c r="H130" t="s">
        <v>1160</v>
      </c>
      <c r="I130">
        <v>10</v>
      </c>
      <c r="J130" t="s">
        <v>1415</v>
      </c>
      <c r="L130" t="s">
        <v>1307</v>
      </c>
    </row>
    <row r="131" spans="1:12" x14ac:dyDescent="0.3">
      <c r="A131">
        <v>113</v>
      </c>
      <c r="B131" t="s">
        <v>1284</v>
      </c>
      <c r="C131" t="s">
        <v>1413</v>
      </c>
      <c r="D131" t="s">
        <v>1224</v>
      </c>
      <c r="E131" t="s">
        <v>1148</v>
      </c>
      <c r="F131" t="s">
        <v>1420</v>
      </c>
      <c r="G131" t="s">
        <v>1428</v>
      </c>
      <c r="H131" t="s">
        <v>1151</v>
      </c>
      <c r="I131">
        <v>10</v>
      </c>
      <c r="J131" t="s">
        <v>1415</v>
      </c>
      <c r="L131" t="s">
        <v>1429</v>
      </c>
    </row>
    <row r="132" spans="1:12" x14ac:dyDescent="0.3">
      <c r="A132">
        <v>114</v>
      </c>
      <c r="B132" t="s">
        <v>1284</v>
      </c>
      <c r="C132" t="s">
        <v>1413</v>
      </c>
      <c r="D132" t="s">
        <v>1430</v>
      </c>
      <c r="E132" t="s">
        <v>1148</v>
      </c>
      <c r="F132" t="s">
        <v>1425</v>
      </c>
      <c r="G132" t="s">
        <v>344</v>
      </c>
      <c r="H132" t="s">
        <v>1431</v>
      </c>
      <c r="I132">
        <v>2</v>
      </c>
      <c r="J132" t="s">
        <v>1152</v>
      </c>
      <c r="K132" t="s">
        <v>1432</v>
      </c>
      <c r="L132" t="s">
        <v>1433</v>
      </c>
    </row>
    <row r="133" spans="1:12" x14ac:dyDescent="0.3">
      <c r="A133">
        <v>115</v>
      </c>
      <c r="B133" t="s">
        <v>1284</v>
      </c>
      <c r="C133" t="s">
        <v>1413</v>
      </c>
      <c r="D133" t="s">
        <v>1434</v>
      </c>
      <c r="E133" t="s">
        <v>1148</v>
      </c>
      <c r="F133" t="s">
        <v>1413</v>
      </c>
      <c r="G133" t="s">
        <v>1148</v>
      </c>
      <c r="H133" t="s">
        <v>1435</v>
      </c>
      <c r="I133">
        <v>1</v>
      </c>
      <c r="J133" t="s">
        <v>1436</v>
      </c>
      <c r="L133" t="s">
        <v>1437</v>
      </c>
    </row>
    <row r="134" spans="1:12" x14ac:dyDescent="0.3">
      <c r="A134" t="s">
        <v>1438</v>
      </c>
    </row>
    <row r="135" spans="1:12" x14ac:dyDescent="0.3">
      <c r="A135">
        <v>116</v>
      </c>
      <c r="B135" t="s">
        <v>1284</v>
      </c>
      <c r="C135" t="s">
        <v>1439</v>
      </c>
      <c r="D135" t="s">
        <v>1440</v>
      </c>
      <c r="E135" t="s">
        <v>1148</v>
      </c>
      <c r="F135" t="s">
        <v>1441</v>
      </c>
      <c r="H135" t="s">
        <v>1157</v>
      </c>
      <c r="I135">
        <v>10</v>
      </c>
      <c r="J135" t="s">
        <v>1327</v>
      </c>
      <c r="L135" t="s">
        <v>1442</v>
      </c>
    </row>
    <row r="136" spans="1:12" x14ac:dyDescent="0.3">
      <c r="A136">
        <v>117</v>
      </c>
      <c r="B136" t="s">
        <v>1284</v>
      </c>
      <c r="C136" t="s">
        <v>1439</v>
      </c>
      <c r="D136" t="s">
        <v>1252</v>
      </c>
      <c r="E136" t="s">
        <v>1148</v>
      </c>
      <c r="F136" t="s">
        <v>1441</v>
      </c>
      <c r="G136" t="s">
        <v>1417</v>
      </c>
      <c r="H136" t="s">
        <v>1157</v>
      </c>
      <c r="I136">
        <v>10</v>
      </c>
      <c r="J136" t="s">
        <v>1327</v>
      </c>
      <c r="L136" t="s">
        <v>1418</v>
      </c>
    </row>
    <row r="137" spans="1:12" x14ac:dyDescent="0.3">
      <c r="A137">
        <v>118</v>
      </c>
      <c r="B137" t="s">
        <v>1284</v>
      </c>
      <c r="C137" t="s">
        <v>1439</v>
      </c>
      <c r="D137" t="s">
        <v>1340</v>
      </c>
      <c r="E137" t="s">
        <v>1148</v>
      </c>
      <c r="F137" t="s">
        <v>1441</v>
      </c>
      <c r="H137" t="s">
        <v>1157</v>
      </c>
      <c r="I137">
        <v>10</v>
      </c>
      <c r="J137" t="s">
        <v>1327</v>
      </c>
    </row>
    <row r="138" spans="1:12" x14ac:dyDescent="0.3">
      <c r="A138">
        <v>119</v>
      </c>
      <c r="B138" t="s">
        <v>1284</v>
      </c>
      <c r="C138" t="s">
        <v>1439</v>
      </c>
      <c r="D138" t="s">
        <v>1391</v>
      </c>
      <c r="E138" t="s">
        <v>1148</v>
      </c>
      <c r="F138" t="s">
        <v>1443</v>
      </c>
      <c r="H138" t="s">
        <v>1157</v>
      </c>
      <c r="I138">
        <v>10</v>
      </c>
      <c r="J138" t="s">
        <v>1327</v>
      </c>
    </row>
    <row r="139" spans="1:12" x14ac:dyDescent="0.3">
      <c r="A139">
        <v>120</v>
      </c>
      <c r="B139" t="s">
        <v>1284</v>
      </c>
      <c r="C139" t="s">
        <v>1439</v>
      </c>
      <c r="D139" t="s">
        <v>1245</v>
      </c>
      <c r="E139" t="s">
        <v>1148</v>
      </c>
      <c r="F139" t="s">
        <v>1441</v>
      </c>
      <c r="H139" t="s">
        <v>1157</v>
      </c>
      <c r="I139">
        <v>10</v>
      </c>
      <c r="J139" t="s">
        <v>1327</v>
      </c>
    </row>
    <row r="140" spans="1:12" x14ac:dyDescent="0.3">
      <c r="A140">
        <v>121</v>
      </c>
      <c r="B140" t="s">
        <v>1284</v>
      </c>
      <c r="C140" t="s">
        <v>1439</v>
      </c>
      <c r="D140" t="s">
        <v>1255</v>
      </c>
      <c r="E140" t="s">
        <v>1148</v>
      </c>
      <c r="F140" t="s">
        <v>1441</v>
      </c>
      <c r="G140" t="s">
        <v>1444</v>
      </c>
      <c r="H140" t="s">
        <v>1157</v>
      </c>
      <c r="I140">
        <v>10</v>
      </c>
      <c r="J140" t="s">
        <v>1327</v>
      </c>
      <c r="L140" t="s">
        <v>1445</v>
      </c>
    </row>
    <row r="141" spans="1:12" x14ac:dyDescent="0.3">
      <c r="A141" t="s">
        <v>1446</v>
      </c>
    </row>
    <row r="142" spans="1:12" x14ac:dyDescent="0.3">
      <c r="A142">
        <v>122</v>
      </c>
      <c r="B142" t="s">
        <v>1284</v>
      </c>
      <c r="C142" t="s">
        <v>1447</v>
      </c>
      <c r="D142" t="s">
        <v>1448</v>
      </c>
      <c r="E142" t="s">
        <v>1148</v>
      </c>
      <c r="F142" t="s">
        <v>1447</v>
      </c>
      <c r="H142" t="s">
        <v>1151</v>
      </c>
      <c r="I142">
        <v>1</v>
      </c>
      <c r="J142" t="s">
        <v>1449</v>
      </c>
      <c r="L142" t="s">
        <v>1450</v>
      </c>
    </row>
    <row r="143" spans="1:12" x14ac:dyDescent="0.3">
      <c r="A143">
        <v>123</v>
      </c>
      <c r="B143" t="s">
        <v>1284</v>
      </c>
      <c r="C143" t="s">
        <v>1447</v>
      </c>
      <c r="D143" t="s">
        <v>1451</v>
      </c>
      <c r="E143" t="s">
        <v>1148</v>
      </c>
      <c r="F143" t="s">
        <v>1447</v>
      </c>
      <c r="H143" t="s">
        <v>1151</v>
      </c>
      <c r="I143">
        <v>1</v>
      </c>
      <c r="J143" t="s">
        <v>1449</v>
      </c>
      <c r="L143" t="s">
        <v>1452</v>
      </c>
    </row>
    <row r="144" spans="1:12" x14ac:dyDescent="0.3">
      <c r="A144" t="s">
        <v>1453</v>
      </c>
    </row>
    <row r="145" spans="1:12" x14ac:dyDescent="0.3">
      <c r="A145">
        <v>124</v>
      </c>
      <c r="B145" t="s">
        <v>1284</v>
      </c>
      <c r="C145" t="s">
        <v>1454</v>
      </c>
      <c r="D145" t="s">
        <v>1455</v>
      </c>
      <c r="E145" t="s">
        <v>1148</v>
      </c>
      <c r="F145" t="s">
        <v>1456</v>
      </c>
      <c r="H145" t="s">
        <v>1160</v>
      </c>
      <c r="I145">
        <v>10</v>
      </c>
      <c r="J145" t="s">
        <v>1398</v>
      </c>
      <c r="K145" t="s">
        <v>1384</v>
      </c>
    </row>
    <row r="146" spans="1:12" x14ac:dyDescent="0.3">
      <c r="A146">
        <v>125</v>
      </c>
      <c r="B146" t="s">
        <v>1284</v>
      </c>
      <c r="C146" t="s">
        <v>1454</v>
      </c>
      <c r="D146" t="s">
        <v>1457</v>
      </c>
      <c r="E146" t="s">
        <v>1148</v>
      </c>
      <c r="F146" t="s">
        <v>1456</v>
      </c>
      <c r="H146" t="s">
        <v>1160</v>
      </c>
      <c r="I146">
        <v>10</v>
      </c>
      <c r="J146" t="s">
        <v>1398</v>
      </c>
      <c r="K146" t="s">
        <v>1384</v>
      </c>
      <c r="L146" t="s">
        <v>1458</v>
      </c>
    </row>
    <row r="147" spans="1:12" x14ac:dyDescent="0.3">
      <c r="A147">
        <v>126</v>
      </c>
      <c r="B147" t="s">
        <v>1284</v>
      </c>
      <c r="C147" t="s">
        <v>1454</v>
      </c>
      <c r="D147" t="s">
        <v>1459</v>
      </c>
      <c r="E147" t="s">
        <v>1148</v>
      </c>
      <c r="F147" t="s">
        <v>1456</v>
      </c>
      <c r="H147" t="s">
        <v>1160</v>
      </c>
      <c r="I147">
        <v>10</v>
      </c>
      <c r="J147" t="s">
        <v>1398</v>
      </c>
      <c r="K147" t="s">
        <v>1384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2"/>
  <sheetViews>
    <sheetView workbookViewId="0"/>
  </sheetViews>
  <sheetFormatPr defaultRowHeight="14.4" x14ac:dyDescent="0.3"/>
  <sheetData>
    <row r="1" spans="1:7" x14ac:dyDescent="0.3">
      <c r="A1" t="s">
        <v>1460</v>
      </c>
      <c r="B1" t="s">
        <v>1461</v>
      </c>
      <c r="C1" t="s">
        <v>1462</v>
      </c>
      <c r="D1" t="s">
        <v>1463</v>
      </c>
      <c r="E1" t="s">
        <v>1464</v>
      </c>
      <c r="F1" t="s">
        <v>232</v>
      </c>
      <c r="G1" t="s">
        <v>233</v>
      </c>
    </row>
    <row r="2" spans="1:7" x14ac:dyDescent="0.3">
      <c r="A2">
        <v>1</v>
      </c>
      <c r="B2" t="s">
        <v>1465</v>
      </c>
      <c r="C2" t="s">
        <v>6</v>
      </c>
      <c r="D2" t="s">
        <v>456</v>
      </c>
      <c r="E2" t="s">
        <v>1466</v>
      </c>
      <c r="F2" t="s">
        <v>316</v>
      </c>
      <c r="G2" t="s">
        <v>317</v>
      </c>
    </row>
    <row r="3" spans="1:7" x14ac:dyDescent="0.3">
      <c r="A3">
        <v>2</v>
      </c>
      <c r="B3" t="s">
        <v>1465</v>
      </c>
      <c r="C3" t="s">
        <v>10</v>
      </c>
      <c r="D3" t="s">
        <v>334</v>
      </c>
      <c r="E3" t="s">
        <v>1467</v>
      </c>
      <c r="F3" t="s">
        <v>316</v>
      </c>
      <c r="G3" t="s">
        <v>247</v>
      </c>
    </row>
    <row r="4" spans="1:7" x14ac:dyDescent="0.3">
      <c r="A4">
        <v>3</v>
      </c>
      <c r="B4" t="s">
        <v>1465</v>
      </c>
      <c r="C4" t="s">
        <v>12</v>
      </c>
      <c r="D4" t="s">
        <v>327</v>
      </c>
      <c r="E4" t="s">
        <v>1468</v>
      </c>
      <c r="F4" t="s">
        <v>316</v>
      </c>
      <c r="G4" t="s">
        <v>247</v>
      </c>
    </row>
    <row r="5" spans="1:7" x14ac:dyDescent="0.3">
      <c r="A5">
        <v>4</v>
      </c>
      <c r="B5" t="s">
        <v>1465</v>
      </c>
      <c r="C5" t="s">
        <v>13</v>
      </c>
      <c r="D5" t="s">
        <v>338</v>
      </c>
      <c r="E5" t="s">
        <v>1469</v>
      </c>
      <c r="F5" t="s">
        <v>316</v>
      </c>
      <c r="G5" t="s">
        <v>247</v>
      </c>
    </row>
    <row r="6" spans="1:7" x14ac:dyDescent="0.3">
      <c r="A6">
        <v>5</v>
      </c>
      <c r="B6" t="s">
        <v>1465</v>
      </c>
      <c r="C6" t="s">
        <v>14</v>
      </c>
      <c r="D6" t="s">
        <v>330</v>
      </c>
      <c r="E6" t="s">
        <v>1470</v>
      </c>
      <c r="F6" t="s">
        <v>316</v>
      </c>
      <c r="G6" t="s">
        <v>247</v>
      </c>
    </row>
    <row r="7" spans="1:7" x14ac:dyDescent="0.3">
      <c r="A7">
        <v>6</v>
      </c>
      <c r="B7" t="s">
        <v>1465</v>
      </c>
      <c r="C7" t="s">
        <v>15</v>
      </c>
      <c r="D7" t="s">
        <v>1471</v>
      </c>
      <c r="E7" t="s">
        <v>1472</v>
      </c>
      <c r="F7" t="s">
        <v>316</v>
      </c>
      <c r="G7" t="s">
        <v>247</v>
      </c>
    </row>
    <row r="8" spans="1:7" x14ac:dyDescent="0.3">
      <c r="A8">
        <v>7</v>
      </c>
      <c r="B8" t="s">
        <v>1465</v>
      </c>
      <c r="C8" t="s">
        <v>16</v>
      </c>
      <c r="D8" t="s">
        <v>388</v>
      </c>
      <c r="E8" t="s">
        <v>1473</v>
      </c>
      <c r="F8" t="s">
        <v>316</v>
      </c>
      <c r="G8" t="s">
        <v>247</v>
      </c>
    </row>
    <row r="9" spans="1:7" x14ac:dyDescent="0.3">
      <c r="A9">
        <v>8</v>
      </c>
      <c r="B9" t="s">
        <v>1465</v>
      </c>
      <c r="C9" t="s">
        <v>17</v>
      </c>
      <c r="D9" t="s">
        <v>336</v>
      </c>
      <c r="E9" t="s">
        <v>1474</v>
      </c>
      <c r="F9" t="s">
        <v>316</v>
      </c>
      <c r="G9" t="s">
        <v>247</v>
      </c>
    </row>
    <row r="10" spans="1:7" x14ac:dyDescent="0.3">
      <c r="A10">
        <v>9</v>
      </c>
      <c r="B10" t="s">
        <v>1465</v>
      </c>
      <c r="C10" t="s">
        <v>18</v>
      </c>
      <c r="D10" t="s">
        <v>344</v>
      </c>
      <c r="E10" t="s">
        <v>1475</v>
      </c>
      <c r="F10" t="s">
        <v>316</v>
      </c>
      <c r="G10" t="s">
        <v>247</v>
      </c>
    </row>
    <row r="11" spans="1:7" x14ac:dyDescent="0.3">
      <c r="A11">
        <v>10</v>
      </c>
      <c r="B11" t="s">
        <v>1465</v>
      </c>
      <c r="C11" t="s">
        <v>19</v>
      </c>
      <c r="D11" t="s">
        <v>324</v>
      </c>
      <c r="E11" t="s">
        <v>1476</v>
      </c>
      <c r="F11" t="s">
        <v>316</v>
      </c>
      <c r="G11" t="s">
        <v>247</v>
      </c>
    </row>
    <row r="12" spans="1:7" x14ac:dyDescent="0.3">
      <c r="A12">
        <v>11</v>
      </c>
      <c r="B12" t="s">
        <v>1465</v>
      </c>
      <c r="C12" t="s">
        <v>20</v>
      </c>
      <c r="D12" t="s">
        <v>334</v>
      </c>
      <c r="E12" t="s">
        <v>1477</v>
      </c>
      <c r="F12" t="s">
        <v>316</v>
      </c>
      <c r="G12" t="s">
        <v>317</v>
      </c>
    </row>
    <row r="13" spans="1:7" x14ac:dyDescent="0.3">
      <c r="A13">
        <v>12</v>
      </c>
      <c r="B13" t="s">
        <v>1465</v>
      </c>
      <c r="C13" t="s">
        <v>21</v>
      </c>
      <c r="D13" t="s">
        <v>1478</v>
      </c>
      <c r="E13" t="s">
        <v>1479</v>
      </c>
      <c r="F13" t="s">
        <v>266</v>
      </c>
      <c r="G13" t="s">
        <v>247</v>
      </c>
    </row>
    <row r="14" spans="1:7" x14ac:dyDescent="0.3">
      <c r="A14">
        <v>13</v>
      </c>
      <c r="B14" t="s">
        <v>1465</v>
      </c>
      <c r="C14" t="s">
        <v>22</v>
      </c>
      <c r="D14" t="s">
        <v>344</v>
      </c>
      <c r="E14" t="s">
        <v>1480</v>
      </c>
      <c r="F14" t="s">
        <v>316</v>
      </c>
      <c r="G14" t="s">
        <v>247</v>
      </c>
    </row>
    <row r="15" spans="1:7" x14ac:dyDescent="0.3">
      <c r="A15">
        <v>14</v>
      </c>
      <c r="B15" t="s">
        <v>1465</v>
      </c>
      <c r="C15" t="s">
        <v>23</v>
      </c>
      <c r="D15" t="s">
        <v>315</v>
      </c>
      <c r="E15" t="s">
        <v>1481</v>
      </c>
      <c r="F15" t="s">
        <v>316</v>
      </c>
      <c r="G15" t="s">
        <v>317</v>
      </c>
    </row>
    <row r="16" spans="1:7" x14ac:dyDescent="0.3">
      <c r="A16">
        <v>15</v>
      </c>
      <c r="B16" t="s">
        <v>1465</v>
      </c>
      <c r="C16" t="s">
        <v>24</v>
      </c>
      <c r="D16" t="s">
        <v>1482</v>
      </c>
      <c r="E16" t="s">
        <v>1483</v>
      </c>
      <c r="F16" t="s">
        <v>316</v>
      </c>
      <c r="G16" t="s">
        <v>247</v>
      </c>
    </row>
    <row r="17" spans="1:7" x14ac:dyDescent="0.3">
      <c r="A17">
        <v>16</v>
      </c>
      <c r="B17" t="s">
        <v>1465</v>
      </c>
      <c r="C17" t="s">
        <v>25</v>
      </c>
      <c r="D17" t="s">
        <v>332</v>
      </c>
      <c r="E17" t="s">
        <v>1484</v>
      </c>
      <c r="F17" t="s">
        <v>316</v>
      </c>
      <c r="G17" t="s">
        <v>317</v>
      </c>
    </row>
    <row r="18" spans="1:7" x14ac:dyDescent="0.3">
      <c r="A18">
        <v>17</v>
      </c>
      <c r="B18" t="s">
        <v>1465</v>
      </c>
      <c r="C18" t="s">
        <v>26</v>
      </c>
      <c r="D18" t="s">
        <v>336</v>
      </c>
      <c r="E18" t="s">
        <v>1485</v>
      </c>
      <c r="F18" t="s">
        <v>316</v>
      </c>
      <c r="G18" t="s">
        <v>317</v>
      </c>
    </row>
    <row r="19" spans="1:7" x14ac:dyDescent="0.3">
      <c r="A19">
        <v>18</v>
      </c>
      <c r="B19" t="s">
        <v>1465</v>
      </c>
      <c r="C19" t="s">
        <v>27</v>
      </c>
      <c r="D19" t="s">
        <v>321</v>
      </c>
      <c r="E19" t="s">
        <v>1486</v>
      </c>
      <c r="F19" t="s">
        <v>316</v>
      </c>
      <c r="G19" t="s">
        <v>317</v>
      </c>
    </row>
    <row r="20" spans="1:7" x14ac:dyDescent="0.3">
      <c r="A20">
        <v>19</v>
      </c>
      <c r="B20" t="s">
        <v>1465</v>
      </c>
      <c r="C20" t="s">
        <v>28</v>
      </c>
      <c r="D20" t="s">
        <v>327</v>
      </c>
      <c r="E20" t="s">
        <v>1487</v>
      </c>
      <c r="F20" t="s">
        <v>316</v>
      </c>
      <c r="G20" t="s">
        <v>317</v>
      </c>
    </row>
    <row r="21" spans="1:7" x14ac:dyDescent="0.3">
      <c r="A21">
        <v>20</v>
      </c>
      <c r="B21" t="s">
        <v>1465</v>
      </c>
      <c r="C21" t="s">
        <v>29</v>
      </c>
      <c r="D21" t="s">
        <v>344</v>
      </c>
      <c r="E21" t="s">
        <v>1488</v>
      </c>
      <c r="F21" t="s">
        <v>316</v>
      </c>
      <c r="G21" t="s">
        <v>317</v>
      </c>
    </row>
    <row r="22" spans="1:7" x14ac:dyDescent="0.3">
      <c r="A22">
        <v>21</v>
      </c>
      <c r="B22" t="s">
        <v>1465</v>
      </c>
      <c r="C22" t="s">
        <v>30</v>
      </c>
      <c r="D22" t="s">
        <v>379</v>
      </c>
      <c r="E22" t="s">
        <v>1489</v>
      </c>
      <c r="F22" t="s">
        <v>316</v>
      </c>
      <c r="G22" t="s">
        <v>317</v>
      </c>
    </row>
    <row r="23" spans="1:7" x14ac:dyDescent="0.3">
      <c r="A23">
        <v>22</v>
      </c>
      <c r="B23" t="s">
        <v>1465</v>
      </c>
      <c r="C23" t="s">
        <v>31</v>
      </c>
      <c r="D23" t="s">
        <v>324</v>
      </c>
      <c r="E23" t="s">
        <v>1490</v>
      </c>
      <c r="F23" t="s">
        <v>316</v>
      </c>
      <c r="G23" t="s">
        <v>317</v>
      </c>
    </row>
    <row r="24" spans="1:7" x14ac:dyDescent="0.3">
      <c r="A24">
        <v>23</v>
      </c>
      <c r="B24" t="s">
        <v>1465</v>
      </c>
      <c r="C24" t="s">
        <v>32</v>
      </c>
      <c r="D24" t="s">
        <v>330</v>
      </c>
      <c r="E24" t="s">
        <v>1491</v>
      </c>
      <c r="F24" t="s">
        <v>316</v>
      </c>
      <c r="G24" t="s">
        <v>317</v>
      </c>
    </row>
    <row r="25" spans="1:7" x14ac:dyDescent="0.3">
      <c r="A25">
        <v>24</v>
      </c>
      <c r="B25" t="s">
        <v>1465</v>
      </c>
      <c r="C25" t="s">
        <v>33</v>
      </c>
      <c r="D25" t="s">
        <v>334</v>
      </c>
      <c r="E25" t="s">
        <v>1492</v>
      </c>
      <c r="F25" t="s">
        <v>316</v>
      </c>
      <c r="G25" t="s">
        <v>247</v>
      </c>
    </row>
    <row r="26" spans="1:7" x14ac:dyDescent="0.3">
      <c r="A26">
        <v>25</v>
      </c>
      <c r="B26" t="s">
        <v>1465</v>
      </c>
      <c r="C26" t="s">
        <v>34</v>
      </c>
      <c r="D26" t="s">
        <v>334</v>
      </c>
      <c r="E26" t="s">
        <v>1493</v>
      </c>
      <c r="F26" t="s">
        <v>316</v>
      </c>
      <c r="G26" t="s">
        <v>317</v>
      </c>
    </row>
    <row r="27" spans="1:7" x14ac:dyDescent="0.3">
      <c r="A27">
        <v>26</v>
      </c>
      <c r="B27" t="s">
        <v>1465</v>
      </c>
      <c r="C27" t="s">
        <v>35</v>
      </c>
      <c r="D27" t="s">
        <v>334</v>
      </c>
      <c r="E27" t="s">
        <v>1494</v>
      </c>
      <c r="F27" t="s">
        <v>316</v>
      </c>
      <c r="G27" t="s">
        <v>317</v>
      </c>
    </row>
    <row r="28" spans="1:7" x14ac:dyDescent="0.3">
      <c r="A28">
        <v>27</v>
      </c>
      <c r="B28" t="s">
        <v>1465</v>
      </c>
      <c r="C28" t="s">
        <v>36</v>
      </c>
      <c r="D28" t="s">
        <v>324</v>
      </c>
      <c r="E28" t="s">
        <v>1495</v>
      </c>
      <c r="F28" t="s">
        <v>316</v>
      </c>
      <c r="G28" t="s">
        <v>317</v>
      </c>
    </row>
    <row r="29" spans="1:7" x14ac:dyDescent="0.3">
      <c r="A29">
        <v>28</v>
      </c>
      <c r="B29" t="s">
        <v>1465</v>
      </c>
      <c r="C29" t="s">
        <v>37</v>
      </c>
      <c r="D29" t="s">
        <v>336</v>
      </c>
      <c r="E29" t="s">
        <v>1496</v>
      </c>
      <c r="F29" t="s">
        <v>316</v>
      </c>
      <c r="G29" t="s">
        <v>317</v>
      </c>
    </row>
    <row r="30" spans="1:7" x14ac:dyDescent="0.3">
      <c r="A30">
        <v>29</v>
      </c>
      <c r="B30" t="s">
        <v>1465</v>
      </c>
      <c r="C30" t="s">
        <v>38</v>
      </c>
      <c r="D30" t="s">
        <v>332</v>
      </c>
      <c r="E30" t="s">
        <v>1497</v>
      </c>
      <c r="F30" t="s">
        <v>316</v>
      </c>
      <c r="G30" t="s">
        <v>317</v>
      </c>
    </row>
    <row r="31" spans="1:7" x14ac:dyDescent="0.3">
      <c r="A31">
        <v>30</v>
      </c>
      <c r="B31" t="s">
        <v>1465</v>
      </c>
      <c r="C31" t="s">
        <v>39</v>
      </c>
      <c r="D31" t="s">
        <v>336</v>
      </c>
      <c r="E31" t="s">
        <v>1498</v>
      </c>
      <c r="F31" t="s">
        <v>316</v>
      </c>
      <c r="G31" t="s">
        <v>317</v>
      </c>
    </row>
    <row r="32" spans="1:7" x14ac:dyDescent="0.3">
      <c r="A32">
        <v>31</v>
      </c>
      <c r="B32" t="s">
        <v>1465</v>
      </c>
      <c r="C32" t="s">
        <v>40</v>
      </c>
      <c r="D32" t="s">
        <v>327</v>
      </c>
      <c r="E32" t="s">
        <v>1468</v>
      </c>
      <c r="F32" t="s">
        <v>316</v>
      </c>
      <c r="G32" t="s">
        <v>317</v>
      </c>
    </row>
    <row r="33" spans="1:7" x14ac:dyDescent="0.3">
      <c r="A33">
        <v>32</v>
      </c>
      <c r="B33" t="s">
        <v>1465</v>
      </c>
      <c r="C33" t="s">
        <v>41</v>
      </c>
      <c r="D33" t="s">
        <v>321</v>
      </c>
      <c r="E33" t="s">
        <v>1499</v>
      </c>
      <c r="F33" t="s">
        <v>316</v>
      </c>
      <c r="G33" t="s">
        <v>317</v>
      </c>
    </row>
    <row r="34" spans="1:7" x14ac:dyDescent="0.3">
      <c r="A34">
        <v>33</v>
      </c>
      <c r="B34" t="s">
        <v>1465</v>
      </c>
      <c r="C34" t="s">
        <v>42</v>
      </c>
      <c r="D34" t="s">
        <v>332</v>
      </c>
      <c r="E34" t="s">
        <v>1500</v>
      </c>
      <c r="F34" t="s">
        <v>316</v>
      </c>
      <c r="G34" t="s">
        <v>317</v>
      </c>
    </row>
    <row r="35" spans="1:7" x14ac:dyDescent="0.3">
      <c r="A35">
        <v>34</v>
      </c>
      <c r="B35" t="s">
        <v>1465</v>
      </c>
      <c r="C35" t="s">
        <v>43</v>
      </c>
      <c r="D35" t="s">
        <v>344</v>
      </c>
      <c r="E35" t="s">
        <v>1501</v>
      </c>
      <c r="F35" t="s">
        <v>316</v>
      </c>
      <c r="G35" t="s">
        <v>317</v>
      </c>
    </row>
    <row r="36" spans="1:7" x14ac:dyDescent="0.3">
      <c r="A36">
        <v>35</v>
      </c>
      <c r="B36" t="s">
        <v>1465</v>
      </c>
      <c r="C36" t="s">
        <v>44</v>
      </c>
      <c r="D36" t="s">
        <v>330</v>
      </c>
      <c r="E36" t="s">
        <v>1502</v>
      </c>
      <c r="F36" t="s">
        <v>316</v>
      </c>
      <c r="G36" t="s">
        <v>317</v>
      </c>
    </row>
    <row r="37" spans="1:7" x14ac:dyDescent="0.3">
      <c r="A37">
        <v>36</v>
      </c>
      <c r="B37" t="s">
        <v>1465</v>
      </c>
      <c r="C37" t="s">
        <v>45</v>
      </c>
      <c r="D37" t="s">
        <v>1503</v>
      </c>
      <c r="E37" t="s">
        <v>1504</v>
      </c>
      <c r="F37" t="s">
        <v>1505</v>
      </c>
      <c r="G37" t="s">
        <v>247</v>
      </c>
    </row>
    <row r="38" spans="1:7" x14ac:dyDescent="0.3">
      <c r="A38">
        <v>37</v>
      </c>
      <c r="B38" t="s">
        <v>1465</v>
      </c>
      <c r="C38" t="s">
        <v>46</v>
      </c>
      <c r="D38" t="s">
        <v>321</v>
      </c>
      <c r="E38" t="s">
        <v>1506</v>
      </c>
      <c r="F38" t="s">
        <v>316</v>
      </c>
      <c r="G38" t="s">
        <v>247</v>
      </c>
    </row>
    <row r="39" spans="1:7" x14ac:dyDescent="0.3">
      <c r="A39">
        <v>38</v>
      </c>
      <c r="B39" t="s">
        <v>1465</v>
      </c>
      <c r="C39" t="s">
        <v>47</v>
      </c>
      <c r="D39" t="s">
        <v>332</v>
      </c>
      <c r="E39" t="s">
        <v>1497</v>
      </c>
      <c r="F39" t="s">
        <v>316</v>
      </c>
      <c r="G39" t="s">
        <v>247</v>
      </c>
    </row>
    <row r="40" spans="1:7" x14ac:dyDescent="0.3">
      <c r="A40">
        <v>39</v>
      </c>
      <c r="B40" t="s">
        <v>1465</v>
      </c>
      <c r="C40" t="s">
        <v>48</v>
      </c>
      <c r="D40" t="s">
        <v>1507</v>
      </c>
      <c r="E40" t="s">
        <v>1508</v>
      </c>
      <c r="F40" t="s">
        <v>1505</v>
      </c>
      <c r="G40" t="s">
        <v>247</v>
      </c>
    </row>
    <row r="41" spans="1:7" x14ac:dyDescent="0.3">
      <c r="A41">
        <v>40</v>
      </c>
      <c r="B41" t="s">
        <v>1465</v>
      </c>
      <c r="C41" t="s">
        <v>49</v>
      </c>
      <c r="D41" t="s">
        <v>1509</v>
      </c>
      <c r="E41" t="s">
        <v>1510</v>
      </c>
      <c r="F41" t="s">
        <v>1511</v>
      </c>
      <c r="G41" t="s">
        <v>247</v>
      </c>
    </row>
    <row r="42" spans="1:7" x14ac:dyDescent="0.3">
      <c r="A42">
        <v>41</v>
      </c>
      <c r="B42" t="s">
        <v>1465</v>
      </c>
      <c r="C42" t="s">
        <v>50</v>
      </c>
      <c r="D42" t="s">
        <v>315</v>
      </c>
      <c r="E42" t="s">
        <v>1512</v>
      </c>
      <c r="F42" t="s">
        <v>587</v>
      </c>
      <c r="G42" t="s">
        <v>247</v>
      </c>
    </row>
    <row r="43" spans="1:7" x14ac:dyDescent="0.3">
      <c r="A43">
        <v>42</v>
      </c>
      <c r="B43" t="s">
        <v>1465</v>
      </c>
      <c r="C43" t="s">
        <v>51</v>
      </c>
      <c r="D43" t="s">
        <v>338</v>
      </c>
      <c r="E43" t="s">
        <v>1513</v>
      </c>
      <c r="F43" t="s">
        <v>506</v>
      </c>
      <c r="G43" t="s">
        <v>247</v>
      </c>
    </row>
    <row r="44" spans="1:7" x14ac:dyDescent="0.3">
      <c r="A44">
        <v>43</v>
      </c>
      <c r="B44" t="s">
        <v>1465</v>
      </c>
      <c r="C44" t="s">
        <v>52</v>
      </c>
      <c r="D44" t="s">
        <v>315</v>
      </c>
      <c r="E44" t="s">
        <v>1514</v>
      </c>
      <c r="F44" t="s">
        <v>506</v>
      </c>
      <c r="G44" t="s">
        <v>317</v>
      </c>
    </row>
    <row r="45" spans="1:7" x14ac:dyDescent="0.3">
      <c r="A45">
        <v>44</v>
      </c>
      <c r="B45" t="s">
        <v>1465</v>
      </c>
      <c r="C45" t="s">
        <v>53</v>
      </c>
      <c r="D45" t="s">
        <v>1515</v>
      </c>
      <c r="E45" t="s">
        <v>1516</v>
      </c>
      <c r="F45" t="s">
        <v>506</v>
      </c>
      <c r="G45" t="s">
        <v>247</v>
      </c>
    </row>
    <row r="46" spans="1:7" x14ac:dyDescent="0.3">
      <c r="A46">
        <v>45</v>
      </c>
      <c r="B46" t="s">
        <v>1517</v>
      </c>
      <c r="C46" t="s">
        <v>54</v>
      </c>
      <c r="D46" t="s">
        <v>456</v>
      </c>
      <c r="E46" t="s">
        <v>1518</v>
      </c>
      <c r="F46" t="s">
        <v>1519</v>
      </c>
      <c r="G46" t="s">
        <v>247</v>
      </c>
    </row>
    <row r="47" spans="1:7" x14ac:dyDescent="0.3">
      <c r="A47">
        <v>46</v>
      </c>
      <c r="B47" t="s">
        <v>1517</v>
      </c>
      <c r="C47" t="s">
        <v>55</v>
      </c>
      <c r="D47" t="s">
        <v>1503</v>
      </c>
      <c r="E47" t="s">
        <v>1520</v>
      </c>
      <c r="F47" t="s">
        <v>1521</v>
      </c>
      <c r="G47" t="s">
        <v>247</v>
      </c>
    </row>
    <row r="48" spans="1:7" x14ac:dyDescent="0.3">
      <c r="A48">
        <v>47</v>
      </c>
      <c r="B48" t="s">
        <v>1517</v>
      </c>
      <c r="C48" t="s">
        <v>56</v>
      </c>
      <c r="D48" t="s">
        <v>1522</v>
      </c>
      <c r="E48" t="s">
        <v>1523</v>
      </c>
      <c r="F48" t="s">
        <v>1524</v>
      </c>
      <c r="G48" t="s">
        <v>461</v>
      </c>
    </row>
    <row r="49" spans="1:7" x14ac:dyDescent="0.3">
      <c r="A49">
        <v>48</v>
      </c>
      <c r="B49" t="s">
        <v>1517</v>
      </c>
      <c r="C49" t="s">
        <v>57</v>
      </c>
      <c r="D49" t="s">
        <v>1525</v>
      </c>
      <c r="E49" t="s">
        <v>1526</v>
      </c>
      <c r="F49" t="s">
        <v>1527</v>
      </c>
      <c r="G49" t="s">
        <v>247</v>
      </c>
    </row>
    <row r="50" spans="1:7" x14ac:dyDescent="0.3">
      <c r="A50">
        <v>49</v>
      </c>
      <c r="B50" t="s">
        <v>1517</v>
      </c>
      <c r="C50" t="s">
        <v>58</v>
      </c>
      <c r="D50" t="s">
        <v>456</v>
      </c>
      <c r="E50" t="s">
        <v>1518</v>
      </c>
      <c r="F50" t="s">
        <v>487</v>
      </c>
      <c r="G50" t="s">
        <v>461</v>
      </c>
    </row>
    <row r="51" spans="1:7" x14ac:dyDescent="0.3">
      <c r="A51">
        <v>50</v>
      </c>
      <c r="B51" t="s">
        <v>1517</v>
      </c>
      <c r="C51" t="s">
        <v>59</v>
      </c>
      <c r="D51" t="s">
        <v>456</v>
      </c>
      <c r="E51" t="s">
        <v>1528</v>
      </c>
      <c r="F51" t="s">
        <v>1529</v>
      </c>
      <c r="G51" t="s">
        <v>461</v>
      </c>
    </row>
    <row r="52" spans="1:7" x14ac:dyDescent="0.3">
      <c r="A52">
        <v>51</v>
      </c>
      <c r="B52" t="s">
        <v>1517</v>
      </c>
      <c r="C52" t="s">
        <v>60</v>
      </c>
      <c r="D52" t="s">
        <v>516</v>
      </c>
      <c r="E52" t="s">
        <v>1530</v>
      </c>
      <c r="F52" t="s">
        <v>506</v>
      </c>
      <c r="G52" t="s">
        <v>461</v>
      </c>
    </row>
    <row r="53" spans="1:7" x14ac:dyDescent="0.3">
      <c r="A53">
        <v>52</v>
      </c>
      <c r="B53" t="s">
        <v>1517</v>
      </c>
      <c r="C53" t="s">
        <v>61</v>
      </c>
      <c r="D53" t="s">
        <v>516</v>
      </c>
      <c r="E53" t="s">
        <v>1531</v>
      </c>
      <c r="F53" t="s">
        <v>506</v>
      </c>
      <c r="G53" t="s">
        <v>533</v>
      </c>
    </row>
    <row r="54" spans="1:7" x14ac:dyDescent="0.3">
      <c r="A54">
        <v>53</v>
      </c>
      <c r="B54" t="s">
        <v>1517</v>
      </c>
      <c r="C54" t="s">
        <v>62</v>
      </c>
      <c r="D54" t="s">
        <v>516</v>
      </c>
      <c r="E54" t="s">
        <v>1532</v>
      </c>
      <c r="F54" t="s">
        <v>506</v>
      </c>
      <c r="G54" t="s">
        <v>247</v>
      </c>
    </row>
    <row r="55" spans="1:7" x14ac:dyDescent="0.3">
      <c r="A55">
        <v>54</v>
      </c>
      <c r="B55" t="s">
        <v>1517</v>
      </c>
      <c r="C55" t="s">
        <v>63</v>
      </c>
      <c r="D55" t="s">
        <v>1533</v>
      </c>
      <c r="E55" t="s">
        <v>1534</v>
      </c>
      <c r="F55" t="s">
        <v>506</v>
      </c>
      <c r="G55" t="s">
        <v>461</v>
      </c>
    </row>
    <row r="56" spans="1:7" x14ac:dyDescent="0.3">
      <c r="A56">
        <v>55</v>
      </c>
      <c r="B56" t="s">
        <v>1535</v>
      </c>
      <c r="C56" t="s">
        <v>64</v>
      </c>
      <c r="D56" t="s">
        <v>334</v>
      </c>
      <c r="E56" t="s">
        <v>1536</v>
      </c>
      <c r="F56" t="s">
        <v>316</v>
      </c>
      <c r="G56" t="s">
        <v>247</v>
      </c>
    </row>
    <row r="57" spans="1:7" x14ac:dyDescent="0.3">
      <c r="A57">
        <v>56</v>
      </c>
      <c r="B57" t="s">
        <v>1535</v>
      </c>
      <c r="C57" t="s">
        <v>65</v>
      </c>
      <c r="D57" t="s">
        <v>336</v>
      </c>
      <c r="E57" t="s">
        <v>1537</v>
      </c>
      <c r="F57" t="s">
        <v>506</v>
      </c>
      <c r="G57" t="s">
        <v>247</v>
      </c>
    </row>
    <row r="58" spans="1:7" x14ac:dyDescent="0.3">
      <c r="A58">
        <v>57</v>
      </c>
      <c r="B58" t="s">
        <v>1535</v>
      </c>
      <c r="C58" t="s">
        <v>66</v>
      </c>
      <c r="D58" t="s">
        <v>324</v>
      </c>
      <c r="E58" t="s">
        <v>1538</v>
      </c>
      <c r="F58" t="s">
        <v>506</v>
      </c>
      <c r="G58" t="s">
        <v>247</v>
      </c>
    </row>
    <row r="59" spans="1:7" x14ac:dyDescent="0.3">
      <c r="A59">
        <v>58</v>
      </c>
      <c r="B59" t="s">
        <v>1535</v>
      </c>
      <c r="C59" t="s">
        <v>67</v>
      </c>
      <c r="D59" t="s">
        <v>321</v>
      </c>
      <c r="E59" t="s">
        <v>1539</v>
      </c>
      <c r="F59" t="s">
        <v>506</v>
      </c>
      <c r="G59" t="s">
        <v>247</v>
      </c>
    </row>
    <row r="60" spans="1:7" x14ac:dyDescent="0.3">
      <c r="A60">
        <v>59</v>
      </c>
      <c r="B60" t="s">
        <v>1535</v>
      </c>
      <c r="C60" t="s">
        <v>68</v>
      </c>
      <c r="D60" t="s">
        <v>344</v>
      </c>
      <c r="E60" t="s">
        <v>1540</v>
      </c>
      <c r="F60" t="s">
        <v>506</v>
      </c>
      <c r="G60" t="s">
        <v>247</v>
      </c>
    </row>
    <row r="61" spans="1:7" x14ac:dyDescent="0.3">
      <c r="A61">
        <v>60</v>
      </c>
      <c r="B61" t="s">
        <v>1535</v>
      </c>
      <c r="C61" t="s">
        <v>69</v>
      </c>
      <c r="D61" t="s">
        <v>332</v>
      </c>
      <c r="E61" t="s">
        <v>1541</v>
      </c>
      <c r="F61" t="s">
        <v>506</v>
      </c>
      <c r="G61" t="s">
        <v>247</v>
      </c>
    </row>
    <row r="62" spans="1:7" x14ac:dyDescent="0.3">
      <c r="A62">
        <v>61</v>
      </c>
      <c r="B62" t="s">
        <v>1535</v>
      </c>
      <c r="C62" t="s">
        <v>70</v>
      </c>
      <c r="D62" t="s">
        <v>379</v>
      </c>
      <c r="E62" t="s">
        <v>1542</v>
      </c>
      <c r="F62" t="s">
        <v>506</v>
      </c>
      <c r="G62" t="s">
        <v>247</v>
      </c>
    </row>
    <row r="63" spans="1:7" x14ac:dyDescent="0.3">
      <c r="A63">
        <v>62</v>
      </c>
      <c r="B63" t="s">
        <v>1535</v>
      </c>
      <c r="C63" t="s">
        <v>71</v>
      </c>
      <c r="D63" t="s">
        <v>327</v>
      </c>
      <c r="E63" t="s">
        <v>1543</v>
      </c>
      <c r="F63" t="s">
        <v>597</v>
      </c>
      <c r="G63" t="s">
        <v>461</v>
      </c>
    </row>
    <row r="64" spans="1:7" x14ac:dyDescent="0.3">
      <c r="A64">
        <v>63</v>
      </c>
      <c r="B64" t="s">
        <v>1535</v>
      </c>
      <c r="C64" t="s">
        <v>72</v>
      </c>
      <c r="D64" t="s">
        <v>330</v>
      </c>
      <c r="E64" t="s">
        <v>1544</v>
      </c>
      <c r="F64" t="s">
        <v>506</v>
      </c>
      <c r="G64" t="s">
        <v>461</v>
      </c>
    </row>
    <row r="65" spans="1:7" x14ac:dyDescent="0.3">
      <c r="A65">
        <v>64</v>
      </c>
      <c r="B65" t="s">
        <v>1535</v>
      </c>
      <c r="C65" t="s">
        <v>73</v>
      </c>
      <c r="D65" t="s">
        <v>1545</v>
      </c>
      <c r="E65" t="s">
        <v>1546</v>
      </c>
      <c r="F65" t="s">
        <v>597</v>
      </c>
      <c r="G65" t="s">
        <v>461</v>
      </c>
    </row>
    <row r="66" spans="1:7" x14ac:dyDescent="0.3">
      <c r="A66">
        <v>65</v>
      </c>
      <c r="B66" t="s">
        <v>1535</v>
      </c>
      <c r="C66" t="s">
        <v>74</v>
      </c>
      <c r="D66" t="s">
        <v>334</v>
      </c>
      <c r="E66" t="s">
        <v>1547</v>
      </c>
      <c r="F66" t="s">
        <v>316</v>
      </c>
      <c r="G66" t="s">
        <v>247</v>
      </c>
    </row>
    <row r="67" spans="1:7" x14ac:dyDescent="0.3">
      <c r="A67">
        <v>66</v>
      </c>
      <c r="B67" t="s">
        <v>1535</v>
      </c>
      <c r="C67" t="s">
        <v>75</v>
      </c>
      <c r="D67" t="s">
        <v>327</v>
      </c>
      <c r="E67" t="s">
        <v>1548</v>
      </c>
      <c r="F67" t="s">
        <v>506</v>
      </c>
      <c r="G67" t="s">
        <v>247</v>
      </c>
    </row>
    <row r="68" spans="1:7" x14ac:dyDescent="0.3">
      <c r="A68">
        <v>67</v>
      </c>
      <c r="B68" t="s">
        <v>1535</v>
      </c>
      <c r="C68" t="s">
        <v>76</v>
      </c>
      <c r="D68" t="s">
        <v>330</v>
      </c>
      <c r="E68" t="s">
        <v>1549</v>
      </c>
      <c r="F68" t="s">
        <v>506</v>
      </c>
      <c r="G68" t="s">
        <v>247</v>
      </c>
    </row>
    <row r="69" spans="1:7" x14ac:dyDescent="0.3">
      <c r="A69">
        <v>68</v>
      </c>
      <c r="B69" t="s">
        <v>1535</v>
      </c>
      <c r="C69" t="s">
        <v>77</v>
      </c>
      <c r="D69" t="s">
        <v>1545</v>
      </c>
      <c r="E69" t="s">
        <v>1550</v>
      </c>
      <c r="F69" t="s">
        <v>506</v>
      </c>
      <c r="G69" t="s">
        <v>247</v>
      </c>
    </row>
    <row r="70" spans="1:7" x14ac:dyDescent="0.3">
      <c r="A70">
        <v>69</v>
      </c>
      <c r="B70" t="s">
        <v>1551</v>
      </c>
      <c r="C70" t="s">
        <v>78</v>
      </c>
      <c r="D70" t="s">
        <v>327</v>
      </c>
      <c r="E70" t="s">
        <v>1552</v>
      </c>
      <c r="F70" t="s">
        <v>506</v>
      </c>
      <c r="G70" t="s">
        <v>247</v>
      </c>
    </row>
    <row r="71" spans="1:7" x14ac:dyDescent="0.3">
      <c r="A71">
        <v>70</v>
      </c>
      <c r="B71" t="s">
        <v>1551</v>
      </c>
      <c r="C71" t="s">
        <v>79</v>
      </c>
      <c r="D71" t="s">
        <v>330</v>
      </c>
      <c r="E71" t="s">
        <v>1553</v>
      </c>
      <c r="F71" t="s">
        <v>506</v>
      </c>
      <c r="G71" t="s">
        <v>247</v>
      </c>
    </row>
    <row r="72" spans="1:7" x14ac:dyDescent="0.3">
      <c r="A72">
        <v>71</v>
      </c>
      <c r="B72" t="s">
        <v>1551</v>
      </c>
      <c r="C72" t="s">
        <v>80</v>
      </c>
      <c r="D72" t="s">
        <v>1545</v>
      </c>
      <c r="E72" t="s">
        <v>1554</v>
      </c>
      <c r="F72" t="s">
        <v>506</v>
      </c>
      <c r="G72" t="s">
        <v>247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15"/>
  <sheetViews>
    <sheetView topLeftCell="B1" workbookViewId="0"/>
  </sheetViews>
  <sheetFormatPr defaultRowHeight="14.4" x14ac:dyDescent="0.3"/>
  <sheetData>
    <row r="1" spans="1:12" x14ac:dyDescent="0.3">
      <c r="A1" t="s">
        <v>226</v>
      </c>
      <c r="B1" t="s">
        <v>1555</v>
      </c>
      <c r="C1" t="s">
        <v>1556</v>
      </c>
      <c r="D1" t="s">
        <v>227</v>
      </c>
      <c r="E1" t="s">
        <v>1557</v>
      </c>
      <c r="F1" t="s">
        <v>1558</v>
      </c>
      <c r="G1" t="s">
        <v>1559</v>
      </c>
      <c r="H1" t="s">
        <v>1560</v>
      </c>
      <c r="I1" t="s">
        <v>1561</v>
      </c>
      <c r="J1" t="s">
        <v>1562</v>
      </c>
      <c r="K1" t="s">
        <v>1563</v>
      </c>
      <c r="L1" t="s">
        <v>234</v>
      </c>
    </row>
    <row r="2" spans="1:12" x14ac:dyDescent="0.3">
      <c r="A2">
        <v>1</v>
      </c>
      <c r="B2" t="s">
        <v>1145</v>
      </c>
      <c r="C2" t="s">
        <v>1146</v>
      </c>
      <c r="D2" t="s">
        <v>1175</v>
      </c>
      <c r="E2" t="s">
        <v>1122</v>
      </c>
      <c r="F2" t="s">
        <v>1156</v>
      </c>
      <c r="G2" t="s">
        <v>1176</v>
      </c>
      <c r="H2" t="s">
        <v>1160</v>
      </c>
      <c r="I2">
        <v>5</v>
      </c>
      <c r="J2" t="s">
        <v>1152</v>
      </c>
      <c r="L2" t="s">
        <v>1177</v>
      </c>
    </row>
    <row r="3" spans="1:12" x14ac:dyDescent="0.3">
      <c r="A3">
        <v>2</v>
      </c>
      <c r="B3" t="s">
        <v>1145</v>
      </c>
      <c r="C3" t="s">
        <v>1146</v>
      </c>
      <c r="D3" t="s">
        <v>1159</v>
      </c>
      <c r="E3" t="s">
        <v>1067</v>
      </c>
      <c r="F3" t="s">
        <v>1156</v>
      </c>
      <c r="G3" t="s">
        <v>1150</v>
      </c>
      <c r="H3" t="s">
        <v>1160</v>
      </c>
      <c r="I3">
        <v>10</v>
      </c>
      <c r="J3" t="s">
        <v>1152</v>
      </c>
      <c r="K3" t="s">
        <v>1161</v>
      </c>
      <c r="L3" t="s">
        <v>1162</v>
      </c>
    </row>
    <row r="4" spans="1:12" x14ac:dyDescent="0.3">
      <c r="A4">
        <v>3</v>
      </c>
      <c r="B4" t="s">
        <v>1145</v>
      </c>
      <c r="C4" t="s">
        <v>1146</v>
      </c>
      <c r="D4" t="s">
        <v>1163</v>
      </c>
      <c r="E4" t="s">
        <v>1164</v>
      </c>
      <c r="F4" t="s">
        <v>1156</v>
      </c>
      <c r="G4" t="s">
        <v>1043</v>
      </c>
      <c r="H4" t="s">
        <v>1165</v>
      </c>
      <c r="I4">
        <v>10</v>
      </c>
      <c r="J4" t="s">
        <v>1152</v>
      </c>
      <c r="L4" t="s">
        <v>1166</v>
      </c>
    </row>
    <row r="5" spans="1:12" x14ac:dyDescent="0.3">
      <c r="A5">
        <v>4</v>
      </c>
      <c r="B5" t="s">
        <v>1145</v>
      </c>
      <c r="C5" t="s">
        <v>1146</v>
      </c>
      <c r="D5" t="s">
        <v>1178</v>
      </c>
      <c r="E5" t="s">
        <v>1179</v>
      </c>
      <c r="F5" t="s">
        <v>1156</v>
      </c>
      <c r="G5" t="s">
        <v>1043</v>
      </c>
      <c r="H5" t="s">
        <v>1160</v>
      </c>
      <c r="I5">
        <v>10</v>
      </c>
      <c r="J5" t="s">
        <v>1152</v>
      </c>
    </row>
    <row r="6" spans="1:12" x14ac:dyDescent="0.3">
      <c r="A6">
        <v>5</v>
      </c>
      <c r="B6" t="s">
        <v>1145</v>
      </c>
      <c r="C6" t="s">
        <v>1146</v>
      </c>
      <c r="D6" t="s">
        <v>1180</v>
      </c>
      <c r="E6" t="s">
        <v>1034</v>
      </c>
      <c r="F6" t="s">
        <v>1156</v>
      </c>
      <c r="G6" t="s">
        <v>1125</v>
      </c>
      <c r="H6" t="s">
        <v>1165</v>
      </c>
      <c r="I6">
        <v>10</v>
      </c>
      <c r="J6" t="s">
        <v>1152</v>
      </c>
      <c r="L6" t="s">
        <v>1181</v>
      </c>
    </row>
    <row r="7" spans="1:12" x14ac:dyDescent="0.3">
      <c r="A7">
        <v>6</v>
      </c>
      <c r="B7" t="s">
        <v>1145</v>
      </c>
      <c r="C7" t="s">
        <v>1146</v>
      </c>
      <c r="D7" t="s">
        <v>1192</v>
      </c>
      <c r="E7" t="s">
        <v>1193</v>
      </c>
      <c r="F7" t="s">
        <v>1156</v>
      </c>
      <c r="G7" t="s">
        <v>344</v>
      </c>
      <c r="H7" t="s">
        <v>1194</v>
      </c>
      <c r="I7">
        <v>5</v>
      </c>
      <c r="J7" t="s">
        <v>1173</v>
      </c>
      <c r="L7" t="s">
        <v>1195</v>
      </c>
    </row>
    <row r="8" spans="1:12" x14ac:dyDescent="0.3">
      <c r="A8">
        <v>7</v>
      </c>
      <c r="B8" t="s">
        <v>1145</v>
      </c>
      <c r="C8" t="s">
        <v>1146</v>
      </c>
      <c r="D8" t="s">
        <v>1182</v>
      </c>
      <c r="E8" t="s">
        <v>1183</v>
      </c>
      <c r="F8" t="s">
        <v>1156</v>
      </c>
      <c r="G8" t="s">
        <v>344</v>
      </c>
      <c r="H8" t="s">
        <v>1184</v>
      </c>
      <c r="I8">
        <v>5</v>
      </c>
      <c r="J8" t="s">
        <v>1173</v>
      </c>
      <c r="L8" t="s">
        <v>1185</v>
      </c>
    </row>
    <row r="9" spans="1:12" x14ac:dyDescent="0.3">
      <c r="A9">
        <v>8</v>
      </c>
      <c r="B9" t="s">
        <v>1145</v>
      </c>
      <c r="C9" t="s">
        <v>1146</v>
      </c>
      <c r="D9" t="s">
        <v>1196</v>
      </c>
      <c r="E9" t="s">
        <v>1197</v>
      </c>
      <c r="F9" t="s">
        <v>1156</v>
      </c>
      <c r="G9" t="s">
        <v>344</v>
      </c>
      <c r="H9" t="s">
        <v>1184</v>
      </c>
      <c r="I9">
        <v>5</v>
      </c>
      <c r="J9" t="s">
        <v>1173</v>
      </c>
    </row>
    <row r="10" spans="1:12" x14ac:dyDescent="0.3">
      <c r="A10">
        <v>9</v>
      </c>
      <c r="B10" t="s">
        <v>1145</v>
      </c>
      <c r="C10" t="s">
        <v>1146</v>
      </c>
      <c r="D10" t="s">
        <v>1186</v>
      </c>
      <c r="E10" t="s">
        <v>1187</v>
      </c>
      <c r="F10" t="s">
        <v>1156</v>
      </c>
      <c r="G10" t="s">
        <v>344</v>
      </c>
      <c r="H10" t="s">
        <v>1184</v>
      </c>
      <c r="I10">
        <v>5</v>
      </c>
      <c r="J10" t="s">
        <v>1173</v>
      </c>
    </row>
    <row r="11" spans="1:12" x14ac:dyDescent="0.3">
      <c r="A11">
        <v>10</v>
      </c>
      <c r="B11" t="s">
        <v>1145</v>
      </c>
      <c r="C11" t="s">
        <v>1146</v>
      </c>
      <c r="D11" t="s">
        <v>1190</v>
      </c>
      <c r="E11" t="s">
        <v>1191</v>
      </c>
      <c r="F11" t="s">
        <v>1156</v>
      </c>
      <c r="G11" t="s">
        <v>344</v>
      </c>
      <c r="H11" t="s">
        <v>1172</v>
      </c>
      <c r="I11">
        <v>5</v>
      </c>
      <c r="J11" t="s">
        <v>1173</v>
      </c>
    </row>
    <row r="12" spans="1:12" x14ac:dyDescent="0.3">
      <c r="A12">
        <v>11</v>
      </c>
      <c r="B12" t="s">
        <v>1145</v>
      </c>
      <c r="C12" t="s">
        <v>1146</v>
      </c>
      <c r="D12" t="s">
        <v>1188</v>
      </c>
      <c r="E12" t="s">
        <v>1189</v>
      </c>
      <c r="F12" t="s">
        <v>1156</v>
      </c>
      <c r="G12" t="s">
        <v>344</v>
      </c>
      <c r="H12" t="s">
        <v>1172</v>
      </c>
      <c r="I12">
        <v>5</v>
      </c>
      <c r="J12" t="s">
        <v>1173</v>
      </c>
    </row>
    <row r="13" spans="1:12" x14ac:dyDescent="0.3">
      <c r="A13">
        <v>12</v>
      </c>
      <c r="B13" t="s">
        <v>1145</v>
      </c>
      <c r="C13" t="s">
        <v>1146</v>
      </c>
      <c r="D13" t="s">
        <v>1154</v>
      </c>
      <c r="E13" t="s">
        <v>1155</v>
      </c>
      <c r="F13" t="s">
        <v>1156</v>
      </c>
      <c r="G13" t="s">
        <v>1043</v>
      </c>
      <c r="H13" t="s">
        <v>1157</v>
      </c>
      <c r="I13">
        <v>10</v>
      </c>
      <c r="J13" t="s">
        <v>1152</v>
      </c>
      <c r="L13" t="s">
        <v>1158</v>
      </c>
    </row>
    <row r="14" spans="1:12" x14ac:dyDescent="0.3">
      <c r="A14">
        <v>13</v>
      </c>
      <c r="B14" t="s">
        <v>1145</v>
      </c>
      <c r="C14" t="s">
        <v>1146</v>
      </c>
      <c r="D14" t="s">
        <v>1171</v>
      </c>
      <c r="E14" t="s">
        <v>884</v>
      </c>
      <c r="F14" t="s">
        <v>1156</v>
      </c>
      <c r="G14" t="s">
        <v>344</v>
      </c>
      <c r="H14" t="s">
        <v>1172</v>
      </c>
      <c r="I14">
        <v>5</v>
      </c>
      <c r="J14" t="s">
        <v>1173</v>
      </c>
      <c r="L14" t="s">
        <v>1174</v>
      </c>
    </row>
    <row r="15" spans="1:12" x14ac:dyDescent="0.3">
      <c r="A15">
        <v>14</v>
      </c>
      <c r="B15" t="s">
        <v>1145</v>
      </c>
      <c r="C15" t="s">
        <v>1146</v>
      </c>
      <c r="D15" t="s">
        <v>1147</v>
      </c>
      <c r="F15" t="s">
        <v>1149</v>
      </c>
      <c r="G15" t="s">
        <v>1150</v>
      </c>
      <c r="H15" t="s">
        <v>1151</v>
      </c>
      <c r="I15">
        <v>10</v>
      </c>
      <c r="J15" t="s">
        <v>1152</v>
      </c>
      <c r="L15" t="s">
        <v>1153</v>
      </c>
    </row>
    <row r="16" spans="1:12" x14ac:dyDescent="0.3">
      <c r="A16">
        <v>15</v>
      </c>
      <c r="B16" t="s">
        <v>1145</v>
      </c>
      <c r="C16" t="s">
        <v>1201</v>
      </c>
      <c r="D16" t="s">
        <v>1205</v>
      </c>
      <c r="F16" t="s">
        <v>1203</v>
      </c>
      <c r="G16" t="s">
        <v>1206</v>
      </c>
      <c r="H16" t="s">
        <v>1160</v>
      </c>
      <c r="I16">
        <v>5</v>
      </c>
      <c r="J16" t="s">
        <v>1152</v>
      </c>
      <c r="K16" t="s">
        <v>1207</v>
      </c>
    </row>
    <row r="17" spans="1:12" x14ac:dyDescent="0.3">
      <c r="A17">
        <v>16</v>
      </c>
      <c r="B17" t="s">
        <v>1145</v>
      </c>
      <c r="C17" t="s">
        <v>1201</v>
      </c>
      <c r="D17" t="s">
        <v>1202</v>
      </c>
      <c r="F17" t="s">
        <v>1203</v>
      </c>
      <c r="G17" t="s">
        <v>1204</v>
      </c>
      <c r="H17" t="s">
        <v>1160</v>
      </c>
      <c r="I17">
        <v>5</v>
      </c>
      <c r="J17" t="s">
        <v>1152</v>
      </c>
    </row>
    <row r="18" spans="1:12" x14ac:dyDescent="0.3">
      <c r="A18">
        <v>17</v>
      </c>
      <c r="B18" t="s">
        <v>1145</v>
      </c>
      <c r="C18" t="s">
        <v>1201</v>
      </c>
      <c r="D18" t="s">
        <v>1210</v>
      </c>
      <c r="F18" t="s">
        <v>1203</v>
      </c>
      <c r="G18" t="s">
        <v>1211</v>
      </c>
      <c r="H18" t="s">
        <v>1160</v>
      </c>
      <c r="I18">
        <v>5</v>
      </c>
      <c r="J18" t="s">
        <v>1152</v>
      </c>
    </row>
    <row r="19" spans="1:12" x14ac:dyDescent="0.3">
      <c r="A19">
        <v>18</v>
      </c>
      <c r="B19" t="s">
        <v>1145</v>
      </c>
      <c r="C19" t="s">
        <v>1201</v>
      </c>
      <c r="D19" t="s">
        <v>1208</v>
      </c>
      <c r="F19" t="s">
        <v>1203</v>
      </c>
      <c r="G19" t="s">
        <v>1209</v>
      </c>
      <c r="H19" t="s">
        <v>1160</v>
      </c>
      <c r="I19">
        <v>5</v>
      </c>
      <c r="J19" t="s">
        <v>1152</v>
      </c>
    </row>
    <row r="20" spans="1:12" x14ac:dyDescent="0.3">
      <c r="A20">
        <v>19</v>
      </c>
      <c r="B20" t="s">
        <v>1145</v>
      </c>
      <c r="C20" t="s">
        <v>1213</v>
      </c>
      <c r="D20" t="s">
        <v>1226</v>
      </c>
      <c r="F20" t="s">
        <v>1221</v>
      </c>
      <c r="G20" t="s">
        <v>1227</v>
      </c>
      <c r="H20" t="s">
        <v>1217</v>
      </c>
      <c r="I20">
        <v>10</v>
      </c>
      <c r="J20" t="s">
        <v>1152</v>
      </c>
      <c r="K20" t="s">
        <v>1228</v>
      </c>
      <c r="L20" t="s">
        <v>1229</v>
      </c>
    </row>
    <row r="21" spans="1:12" x14ac:dyDescent="0.3">
      <c r="A21">
        <v>20</v>
      </c>
      <c r="B21" t="s">
        <v>1145</v>
      </c>
      <c r="C21" t="s">
        <v>1213</v>
      </c>
      <c r="D21" t="s">
        <v>1214</v>
      </c>
      <c r="F21" t="s">
        <v>1215</v>
      </c>
      <c r="G21" t="s">
        <v>1216</v>
      </c>
      <c r="H21" t="s">
        <v>1217</v>
      </c>
      <c r="I21">
        <v>10</v>
      </c>
      <c r="J21" t="s">
        <v>1152</v>
      </c>
      <c r="K21" t="s">
        <v>1218</v>
      </c>
      <c r="L21" t="s">
        <v>1219</v>
      </c>
    </row>
    <row r="22" spans="1:12" x14ac:dyDescent="0.3">
      <c r="A22">
        <v>21</v>
      </c>
      <c r="B22" t="s">
        <v>1145</v>
      </c>
      <c r="C22" t="s">
        <v>1213</v>
      </c>
      <c r="D22" t="s">
        <v>1220</v>
      </c>
      <c r="F22" t="s">
        <v>1221</v>
      </c>
      <c r="G22" t="s">
        <v>1222</v>
      </c>
      <c r="H22" t="s">
        <v>1160</v>
      </c>
      <c r="I22">
        <v>10</v>
      </c>
      <c r="J22" t="s">
        <v>1152</v>
      </c>
      <c r="L22" t="s">
        <v>1223</v>
      </c>
    </row>
    <row r="23" spans="1:12" x14ac:dyDescent="0.3">
      <c r="A23">
        <v>22</v>
      </c>
      <c r="B23" t="s">
        <v>1145</v>
      </c>
      <c r="C23" t="s">
        <v>1213</v>
      </c>
      <c r="D23" t="s">
        <v>1224</v>
      </c>
      <c r="F23" t="s">
        <v>1221</v>
      </c>
      <c r="G23" t="s">
        <v>1222</v>
      </c>
      <c r="H23" t="s">
        <v>1151</v>
      </c>
      <c r="I23">
        <v>10</v>
      </c>
      <c r="J23" t="s">
        <v>1152</v>
      </c>
      <c r="L23" t="s">
        <v>1225</v>
      </c>
    </row>
    <row r="24" spans="1:12" x14ac:dyDescent="0.3">
      <c r="A24">
        <v>23</v>
      </c>
      <c r="B24" t="s">
        <v>1145</v>
      </c>
      <c r="C24" t="s">
        <v>1231</v>
      </c>
      <c r="D24" t="s">
        <v>1237</v>
      </c>
      <c r="F24" t="s">
        <v>1233</v>
      </c>
      <c r="G24" t="s">
        <v>887</v>
      </c>
      <c r="H24" t="s">
        <v>1235</v>
      </c>
      <c r="I24">
        <v>5</v>
      </c>
      <c r="J24" t="s">
        <v>1152</v>
      </c>
      <c r="K24" t="s">
        <v>1238</v>
      </c>
      <c r="L24" t="s">
        <v>1239</v>
      </c>
    </row>
    <row r="25" spans="1:12" x14ac:dyDescent="0.3">
      <c r="A25">
        <v>24</v>
      </c>
      <c r="B25" t="s">
        <v>1145</v>
      </c>
      <c r="C25" t="s">
        <v>1231</v>
      </c>
      <c r="D25" t="s">
        <v>1232</v>
      </c>
      <c r="F25" t="s">
        <v>1233</v>
      </c>
      <c r="G25" t="s">
        <v>1234</v>
      </c>
      <c r="H25" t="s">
        <v>1235</v>
      </c>
      <c r="I25">
        <v>5</v>
      </c>
      <c r="J25" t="s">
        <v>1152</v>
      </c>
    </row>
    <row r="26" spans="1:12" x14ac:dyDescent="0.3">
      <c r="A26">
        <v>25</v>
      </c>
      <c r="B26" t="s">
        <v>1145</v>
      </c>
      <c r="C26" t="s">
        <v>1231</v>
      </c>
      <c r="D26" t="s">
        <v>1242</v>
      </c>
      <c r="F26" t="s">
        <v>1233</v>
      </c>
      <c r="G26" t="s">
        <v>887</v>
      </c>
      <c r="H26" t="s">
        <v>1235</v>
      </c>
      <c r="I26">
        <v>5</v>
      </c>
      <c r="J26" t="s">
        <v>1152</v>
      </c>
    </row>
    <row r="27" spans="1:12" x14ac:dyDescent="0.3">
      <c r="A27">
        <v>26</v>
      </c>
      <c r="B27" t="s">
        <v>1145</v>
      </c>
      <c r="C27" t="s">
        <v>1231</v>
      </c>
      <c r="D27" t="s">
        <v>1241</v>
      </c>
      <c r="F27" t="s">
        <v>1203</v>
      </c>
      <c r="G27" t="s">
        <v>887</v>
      </c>
      <c r="H27" t="s">
        <v>1165</v>
      </c>
      <c r="I27">
        <v>5</v>
      </c>
      <c r="J27" t="s">
        <v>1152</v>
      </c>
    </row>
    <row r="28" spans="1:12" x14ac:dyDescent="0.3">
      <c r="A28">
        <v>27</v>
      </c>
      <c r="B28" t="s">
        <v>1145</v>
      </c>
      <c r="C28" t="s">
        <v>1231</v>
      </c>
      <c r="D28" t="s">
        <v>1240</v>
      </c>
      <c r="F28" t="s">
        <v>1203</v>
      </c>
      <c r="G28" t="s">
        <v>887</v>
      </c>
      <c r="H28" t="s">
        <v>1165</v>
      </c>
      <c r="I28">
        <v>5</v>
      </c>
      <c r="J28" t="s">
        <v>1152</v>
      </c>
    </row>
    <row r="29" spans="1:12" x14ac:dyDescent="0.3">
      <c r="A29">
        <v>28</v>
      </c>
      <c r="B29" t="s">
        <v>1145</v>
      </c>
      <c r="C29" t="s">
        <v>1245</v>
      </c>
      <c r="D29" t="s">
        <v>1255</v>
      </c>
      <c r="F29" t="s">
        <v>1253</v>
      </c>
      <c r="G29" t="s">
        <v>1250</v>
      </c>
      <c r="H29" t="s">
        <v>1151</v>
      </c>
      <c r="I29">
        <v>10</v>
      </c>
      <c r="J29" t="s">
        <v>1152</v>
      </c>
      <c r="L29" t="s">
        <v>1256</v>
      </c>
    </row>
    <row r="30" spans="1:12" x14ac:dyDescent="0.3">
      <c r="A30">
        <v>29</v>
      </c>
      <c r="B30" t="s">
        <v>1145</v>
      </c>
      <c r="C30" t="s">
        <v>1245</v>
      </c>
      <c r="D30" t="s">
        <v>1252</v>
      </c>
      <c r="F30" t="s">
        <v>1253</v>
      </c>
      <c r="G30" t="s">
        <v>1250</v>
      </c>
      <c r="H30" t="s">
        <v>1151</v>
      </c>
      <c r="I30">
        <v>10</v>
      </c>
      <c r="J30" t="s">
        <v>1152</v>
      </c>
      <c r="L30" t="s">
        <v>1254</v>
      </c>
    </row>
    <row r="31" spans="1:12" x14ac:dyDescent="0.3">
      <c r="A31">
        <v>30</v>
      </c>
      <c r="B31" t="s">
        <v>1145</v>
      </c>
      <c r="C31" t="s">
        <v>1245</v>
      </c>
      <c r="D31" t="s">
        <v>1246</v>
      </c>
      <c r="F31" t="s">
        <v>1221</v>
      </c>
      <c r="G31" t="s">
        <v>1247</v>
      </c>
      <c r="H31" t="s">
        <v>1151</v>
      </c>
      <c r="I31">
        <v>10</v>
      </c>
      <c r="J31" t="s">
        <v>1152</v>
      </c>
    </row>
    <row r="32" spans="1:12" x14ac:dyDescent="0.3">
      <c r="A32">
        <v>31</v>
      </c>
      <c r="B32" t="s">
        <v>1145</v>
      </c>
      <c r="C32" t="s">
        <v>1245</v>
      </c>
      <c r="D32" t="s">
        <v>1248</v>
      </c>
      <c r="F32" t="s">
        <v>1249</v>
      </c>
      <c r="H32" t="s">
        <v>1157</v>
      </c>
      <c r="I32">
        <v>10</v>
      </c>
      <c r="J32" t="s">
        <v>1152</v>
      </c>
      <c r="L32" t="s">
        <v>1251</v>
      </c>
    </row>
    <row r="33" spans="1:12" x14ac:dyDescent="0.3">
      <c r="A33">
        <v>32</v>
      </c>
      <c r="B33" t="s">
        <v>1145</v>
      </c>
      <c r="C33" t="s">
        <v>1258</v>
      </c>
      <c r="D33" t="s">
        <v>1269</v>
      </c>
      <c r="F33" t="s">
        <v>1270</v>
      </c>
      <c r="G33" t="s">
        <v>1043</v>
      </c>
      <c r="H33" t="s">
        <v>1151</v>
      </c>
      <c r="I33">
        <v>10</v>
      </c>
      <c r="J33" t="s">
        <v>1152</v>
      </c>
      <c r="L33" t="s">
        <v>1271</v>
      </c>
    </row>
    <row r="34" spans="1:12" x14ac:dyDescent="0.3">
      <c r="A34">
        <v>33</v>
      </c>
      <c r="B34" t="s">
        <v>1145</v>
      </c>
      <c r="C34" t="s">
        <v>1258</v>
      </c>
      <c r="D34" t="s">
        <v>1272</v>
      </c>
      <c r="F34" t="s">
        <v>1221</v>
      </c>
      <c r="G34" t="s">
        <v>887</v>
      </c>
      <c r="H34" t="s">
        <v>1151</v>
      </c>
      <c r="I34">
        <v>5</v>
      </c>
      <c r="J34" t="s">
        <v>1152</v>
      </c>
      <c r="L34" t="s">
        <v>1273</v>
      </c>
    </row>
    <row r="35" spans="1:12" x14ac:dyDescent="0.3">
      <c r="A35">
        <v>34</v>
      </c>
      <c r="B35" t="s">
        <v>1145</v>
      </c>
      <c r="C35" t="s">
        <v>1258</v>
      </c>
      <c r="D35" t="s">
        <v>1279</v>
      </c>
      <c r="F35" t="s">
        <v>1221</v>
      </c>
      <c r="G35" t="s">
        <v>1125</v>
      </c>
      <c r="H35" t="s">
        <v>1280</v>
      </c>
      <c r="I35">
        <v>10</v>
      </c>
      <c r="J35" t="s">
        <v>1281</v>
      </c>
      <c r="L35" t="s">
        <v>1282</v>
      </c>
    </row>
    <row r="36" spans="1:12" x14ac:dyDescent="0.3">
      <c r="A36">
        <v>35</v>
      </c>
      <c r="B36" t="s">
        <v>1145</v>
      </c>
      <c r="C36" t="s">
        <v>1258</v>
      </c>
      <c r="D36" t="s">
        <v>1265</v>
      </c>
      <c r="F36" t="s">
        <v>1266</v>
      </c>
      <c r="H36" t="s">
        <v>1151</v>
      </c>
      <c r="I36">
        <v>10</v>
      </c>
      <c r="J36" t="s">
        <v>1152</v>
      </c>
      <c r="L36" t="s">
        <v>1268</v>
      </c>
    </row>
    <row r="37" spans="1:12" x14ac:dyDescent="0.3">
      <c r="A37">
        <v>36</v>
      </c>
      <c r="B37" t="s">
        <v>1145</v>
      </c>
      <c r="C37" t="s">
        <v>1258</v>
      </c>
      <c r="D37" t="s">
        <v>1263</v>
      </c>
      <c r="F37" t="s">
        <v>1221</v>
      </c>
      <c r="G37" t="s">
        <v>1043</v>
      </c>
      <c r="H37" t="s">
        <v>1151</v>
      </c>
      <c r="I37">
        <v>5</v>
      </c>
      <c r="J37" t="s">
        <v>1152</v>
      </c>
    </row>
    <row r="38" spans="1:12" x14ac:dyDescent="0.3">
      <c r="A38">
        <v>37</v>
      </c>
      <c r="B38" t="s">
        <v>1284</v>
      </c>
      <c r="C38" t="s">
        <v>1285</v>
      </c>
      <c r="D38" t="s">
        <v>1286</v>
      </c>
      <c r="F38" t="s">
        <v>1285</v>
      </c>
      <c r="H38" t="s">
        <v>1287</v>
      </c>
      <c r="I38">
        <v>5</v>
      </c>
      <c r="J38" t="s">
        <v>1152</v>
      </c>
      <c r="K38" t="s">
        <v>1288</v>
      </c>
      <c r="L38" t="s">
        <v>1289</v>
      </c>
    </row>
    <row r="39" spans="1:12" x14ac:dyDescent="0.3">
      <c r="A39">
        <v>38</v>
      </c>
      <c r="B39" t="s">
        <v>1284</v>
      </c>
      <c r="C39" t="s">
        <v>1285</v>
      </c>
      <c r="D39" t="s">
        <v>1290</v>
      </c>
      <c r="F39" t="s">
        <v>1285</v>
      </c>
      <c r="H39" t="s">
        <v>1291</v>
      </c>
      <c r="I39">
        <v>5</v>
      </c>
      <c r="J39" t="s">
        <v>1152</v>
      </c>
      <c r="K39" t="s">
        <v>1292</v>
      </c>
    </row>
    <row r="40" spans="1:12" x14ac:dyDescent="0.3">
      <c r="A40">
        <v>39</v>
      </c>
      <c r="B40" t="s">
        <v>1284</v>
      </c>
      <c r="C40" t="s">
        <v>1285</v>
      </c>
      <c r="D40" t="s">
        <v>1293</v>
      </c>
      <c r="F40" t="s">
        <v>1285</v>
      </c>
      <c r="H40" t="s">
        <v>1291</v>
      </c>
      <c r="I40">
        <v>5</v>
      </c>
      <c r="J40" t="s">
        <v>1152</v>
      </c>
    </row>
    <row r="41" spans="1:12" x14ac:dyDescent="0.3">
      <c r="A41">
        <v>40</v>
      </c>
      <c r="B41" t="s">
        <v>1284</v>
      </c>
      <c r="C41" t="s">
        <v>1285</v>
      </c>
      <c r="D41" t="s">
        <v>1214</v>
      </c>
      <c r="F41" t="s">
        <v>1298</v>
      </c>
      <c r="H41" t="s">
        <v>1217</v>
      </c>
      <c r="I41">
        <v>10</v>
      </c>
      <c r="J41" t="s">
        <v>1152</v>
      </c>
      <c r="K41" t="s">
        <v>1218</v>
      </c>
      <c r="L41" t="s">
        <v>1300</v>
      </c>
    </row>
    <row r="42" spans="1:12" x14ac:dyDescent="0.3">
      <c r="A42">
        <v>41</v>
      </c>
      <c r="B42" t="s">
        <v>1284</v>
      </c>
      <c r="C42" t="s">
        <v>1285</v>
      </c>
      <c r="D42" t="s">
        <v>1301</v>
      </c>
      <c r="F42" t="s">
        <v>1285</v>
      </c>
      <c r="H42" t="s">
        <v>1287</v>
      </c>
      <c r="I42">
        <v>5</v>
      </c>
      <c r="J42" t="s">
        <v>1152</v>
      </c>
      <c r="K42" t="s">
        <v>1302</v>
      </c>
      <c r="L42" t="s">
        <v>1303</v>
      </c>
    </row>
    <row r="43" spans="1:12" x14ac:dyDescent="0.3">
      <c r="A43">
        <v>42</v>
      </c>
      <c r="B43" t="s">
        <v>1284</v>
      </c>
      <c r="C43" t="s">
        <v>1285</v>
      </c>
      <c r="D43" t="s">
        <v>1220</v>
      </c>
      <c r="F43" t="s">
        <v>1298</v>
      </c>
      <c r="H43" t="s">
        <v>1160</v>
      </c>
      <c r="I43">
        <v>10</v>
      </c>
      <c r="J43" t="s">
        <v>1152</v>
      </c>
    </row>
    <row r="44" spans="1:12" x14ac:dyDescent="0.3">
      <c r="A44">
        <v>43</v>
      </c>
      <c r="B44" t="s">
        <v>1284</v>
      </c>
      <c r="C44" t="s">
        <v>1285</v>
      </c>
      <c r="D44" t="s">
        <v>1308</v>
      </c>
      <c r="F44" t="s">
        <v>1285</v>
      </c>
      <c r="H44" t="s">
        <v>1291</v>
      </c>
      <c r="I44">
        <v>5</v>
      </c>
      <c r="J44" t="s">
        <v>1152</v>
      </c>
    </row>
    <row r="45" spans="1:12" x14ac:dyDescent="0.3">
      <c r="A45">
        <v>44</v>
      </c>
      <c r="B45" t="s">
        <v>1284</v>
      </c>
      <c r="C45" t="s">
        <v>1285</v>
      </c>
      <c r="D45" t="s">
        <v>1309</v>
      </c>
      <c r="F45" t="s">
        <v>1285</v>
      </c>
      <c r="H45" t="s">
        <v>1291</v>
      </c>
      <c r="I45">
        <v>5</v>
      </c>
      <c r="J45" t="s">
        <v>1152</v>
      </c>
    </row>
    <row r="46" spans="1:12" x14ac:dyDescent="0.3">
      <c r="A46">
        <v>45</v>
      </c>
      <c r="B46" t="s">
        <v>1284</v>
      </c>
      <c r="C46" t="s">
        <v>1285</v>
      </c>
      <c r="D46" t="s">
        <v>1310</v>
      </c>
      <c r="F46" t="s">
        <v>1285</v>
      </c>
      <c r="H46" t="s">
        <v>1291</v>
      </c>
      <c r="I46">
        <v>5</v>
      </c>
      <c r="J46" t="s">
        <v>1152</v>
      </c>
    </row>
    <row r="47" spans="1:12" x14ac:dyDescent="0.3">
      <c r="A47">
        <v>46</v>
      </c>
      <c r="B47" t="s">
        <v>1284</v>
      </c>
      <c r="C47" t="s">
        <v>1285</v>
      </c>
      <c r="D47" t="s">
        <v>1226</v>
      </c>
      <c r="F47" t="s">
        <v>1298</v>
      </c>
      <c r="H47" t="s">
        <v>1217</v>
      </c>
      <c r="I47">
        <v>10</v>
      </c>
      <c r="J47" t="s">
        <v>1152</v>
      </c>
      <c r="K47" t="s">
        <v>1228</v>
      </c>
    </row>
    <row r="48" spans="1:12" x14ac:dyDescent="0.3">
      <c r="A48">
        <v>47</v>
      </c>
      <c r="B48" t="s">
        <v>1284</v>
      </c>
      <c r="C48" t="s">
        <v>1285</v>
      </c>
      <c r="D48" t="s">
        <v>1314</v>
      </c>
      <c r="F48" t="s">
        <v>1285</v>
      </c>
      <c r="H48" t="s">
        <v>1291</v>
      </c>
      <c r="I48">
        <v>5</v>
      </c>
      <c r="J48" t="s">
        <v>1152</v>
      </c>
    </row>
    <row r="49" spans="1:12" x14ac:dyDescent="0.3">
      <c r="A49">
        <v>48</v>
      </c>
      <c r="B49" t="s">
        <v>1284</v>
      </c>
      <c r="C49" t="s">
        <v>1285</v>
      </c>
      <c r="D49" t="s">
        <v>6</v>
      </c>
      <c r="F49" t="s">
        <v>1285</v>
      </c>
      <c r="H49" t="s">
        <v>1287</v>
      </c>
      <c r="I49">
        <v>10</v>
      </c>
      <c r="J49" t="s">
        <v>1152</v>
      </c>
      <c r="K49" t="s">
        <v>1304</v>
      </c>
      <c r="L49" t="s">
        <v>1305</v>
      </c>
    </row>
    <row r="50" spans="1:12" x14ac:dyDescent="0.3">
      <c r="A50">
        <v>49</v>
      </c>
      <c r="B50" t="s">
        <v>1284</v>
      </c>
      <c r="C50" t="s">
        <v>1285</v>
      </c>
      <c r="D50" t="s">
        <v>1311</v>
      </c>
      <c r="F50" t="s">
        <v>1285</v>
      </c>
      <c r="H50" t="s">
        <v>1295</v>
      </c>
      <c r="I50">
        <v>5</v>
      </c>
      <c r="J50" t="s">
        <v>1296</v>
      </c>
      <c r="K50" t="s">
        <v>1312</v>
      </c>
      <c r="L50" t="s">
        <v>1313</v>
      </c>
    </row>
    <row r="51" spans="1:12" x14ac:dyDescent="0.3">
      <c r="A51">
        <v>50</v>
      </c>
      <c r="B51" t="s">
        <v>1284</v>
      </c>
      <c r="C51" t="s">
        <v>1285</v>
      </c>
      <c r="D51" t="s">
        <v>1294</v>
      </c>
      <c r="F51" t="s">
        <v>1285</v>
      </c>
      <c r="H51" t="s">
        <v>1295</v>
      </c>
      <c r="I51">
        <v>5</v>
      </c>
      <c r="J51" t="s">
        <v>1296</v>
      </c>
      <c r="K51" t="s">
        <v>1297</v>
      </c>
    </row>
    <row r="52" spans="1:12" x14ac:dyDescent="0.3">
      <c r="A52">
        <v>51</v>
      </c>
      <c r="B52" t="s">
        <v>1284</v>
      </c>
      <c r="C52" t="s">
        <v>1316</v>
      </c>
      <c r="D52" t="s">
        <v>1237</v>
      </c>
      <c r="F52" t="s">
        <v>1316</v>
      </c>
      <c r="H52" t="s">
        <v>1172</v>
      </c>
      <c r="I52">
        <v>5</v>
      </c>
      <c r="J52" t="s">
        <v>1318</v>
      </c>
      <c r="K52" t="s">
        <v>1238</v>
      </c>
      <c r="L52" t="s">
        <v>1324</v>
      </c>
    </row>
    <row r="53" spans="1:12" x14ac:dyDescent="0.3">
      <c r="A53">
        <v>52</v>
      </c>
      <c r="B53" t="s">
        <v>1284</v>
      </c>
      <c r="C53" t="s">
        <v>1316</v>
      </c>
      <c r="D53" t="s">
        <v>1232</v>
      </c>
      <c r="F53" t="s">
        <v>1316</v>
      </c>
      <c r="H53" t="s">
        <v>1172</v>
      </c>
      <c r="I53">
        <v>5</v>
      </c>
      <c r="J53" t="s">
        <v>1318</v>
      </c>
    </row>
    <row r="54" spans="1:12" x14ac:dyDescent="0.3">
      <c r="A54">
        <v>53</v>
      </c>
      <c r="B54" t="s">
        <v>1284</v>
      </c>
      <c r="C54" t="s">
        <v>1316</v>
      </c>
      <c r="D54" t="s">
        <v>1202</v>
      </c>
      <c r="F54" t="s">
        <v>1316</v>
      </c>
      <c r="H54" t="s">
        <v>1172</v>
      </c>
      <c r="I54">
        <v>5</v>
      </c>
      <c r="J54" t="s">
        <v>1318</v>
      </c>
    </row>
    <row r="55" spans="1:12" x14ac:dyDescent="0.3">
      <c r="A55">
        <v>54</v>
      </c>
      <c r="B55" t="s">
        <v>1284</v>
      </c>
      <c r="C55" t="s">
        <v>1316</v>
      </c>
      <c r="D55" t="s">
        <v>1242</v>
      </c>
      <c r="F55" t="s">
        <v>1316</v>
      </c>
      <c r="H55" t="s">
        <v>1172</v>
      </c>
      <c r="I55">
        <v>5</v>
      </c>
      <c r="J55" t="s">
        <v>1318</v>
      </c>
    </row>
    <row r="56" spans="1:12" x14ac:dyDescent="0.3">
      <c r="A56">
        <v>55</v>
      </c>
      <c r="B56" t="s">
        <v>1284</v>
      </c>
      <c r="C56" t="s">
        <v>1316</v>
      </c>
      <c r="D56" t="s">
        <v>1210</v>
      </c>
      <c r="F56" t="s">
        <v>1316</v>
      </c>
      <c r="H56" t="s">
        <v>1172</v>
      </c>
      <c r="I56">
        <v>5</v>
      </c>
      <c r="J56" t="s">
        <v>1318</v>
      </c>
    </row>
    <row r="57" spans="1:12" x14ac:dyDescent="0.3">
      <c r="A57">
        <v>56</v>
      </c>
      <c r="B57" t="s">
        <v>1284</v>
      </c>
      <c r="C57" t="s">
        <v>1316</v>
      </c>
      <c r="D57" t="s">
        <v>1319</v>
      </c>
      <c r="F57" t="s">
        <v>1316</v>
      </c>
      <c r="H57" t="s">
        <v>1320</v>
      </c>
      <c r="I57">
        <v>5</v>
      </c>
      <c r="J57" t="s">
        <v>1318</v>
      </c>
      <c r="K57" t="s">
        <v>1321</v>
      </c>
      <c r="L57" t="s">
        <v>1322</v>
      </c>
    </row>
    <row r="58" spans="1:12" x14ac:dyDescent="0.3">
      <c r="A58">
        <v>57</v>
      </c>
      <c r="B58" t="s">
        <v>1284</v>
      </c>
      <c r="C58" t="s">
        <v>1338</v>
      </c>
      <c r="D58" t="s">
        <v>1248</v>
      </c>
      <c r="F58" t="s">
        <v>1338</v>
      </c>
      <c r="H58" t="s">
        <v>1157</v>
      </c>
      <c r="I58">
        <v>10</v>
      </c>
      <c r="J58" t="s">
        <v>1327</v>
      </c>
      <c r="L58" t="s">
        <v>1339</v>
      </c>
    </row>
    <row r="59" spans="1:12" x14ac:dyDescent="0.3">
      <c r="A59">
        <v>58</v>
      </c>
      <c r="B59" t="s">
        <v>1284</v>
      </c>
      <c r="C59" t="s">
        <v>1338</v>
      </c>
      <c r="D59" t="s">
        <v>1245</v>
      </c>
      <c r="F59" t="s">
        <v>1338</v>
      </c>
      <c r="H59" t="s">
        <v>1157</v>
      </c>
      <c r="I59">
        <v>10</v>
      </c>
      <c r="J59" t="s">
        <v>1327</v>
      </c>
    </row>
    <row r="60" spans="1:12" x14ac:dyDescent="0.3">
      <c r="A60">
        <v>59</v>
      </c>
      <c r="B60" t="s">
        <v>1284</v>
      </c>
      <c r="C60" t="s">
        <v>1338</v>
      </c>
      <c r="D60" t="s">
        <v>1341</v>
      </c>
      <c r="F60" t="s">
        <v>1338</v>
      </c>
      <c r="H60" t="s">
        <v>1157</v>
      </c>
      <c r="I60">
        <v>10</v>
      </c>
      <c r="J60" t="s">
        <v>1327</v>
      </c>
    </row>
    <row r="61" spans="1:12" x14ac:dyDescent="0.3">
      <c r="A61">
        <v>60</v>
      </c>
      <c r="B61" t="s">
        <v>1284</v>
      </c>
      <c r="C61" t="s">
        <v>1338</v>
      </c>
      <c r="D61" t="s">
        <v>1342</v>
      </c>
      <c r="F61" t="s">
        <v>1338</v>
      </c>
      <c r="H61" t="s">
        <v>1157</v>
      </c>
      <c r="I61">
        <v>10</v>
      </c>
      <c r="J61" t="s">
        <v>1327</v>
      </c>
    </row>
    <row r="62" spans="1:12" x14ac:dyDescent="0.3">
      <c r="A62">
        <v>61</v>
      </c>
      <c r="B62" t="s">
        <v>1284</v>
      </c>
      <c r="C62" t="s">
        <v>1338</v>
      </c>
      <c r="D62" t="s">
        <v>1340</v>
      </c>
      <c r="F62" t="s">
        <v>1338</v>
      </c>
      <c r="H62" t="s">
        <v>1157</v>
      </c>
      <c r="I62">
        <v>10</v>
      </c>
      <c r="J62" t="s">
        <v>1327</v>
      </c>
    </row>
    <row r="63" spans="1:12" x14ac:dyDescent="0.3">
      <c r="A63">
        <v>62</v>
      </c>
      <c r="B63" t="s">
        <v>1284</v>
      </c>
      <c r="C63" t="s">
        <v>1344</v>
      </c>
      <c r="D63" t="s">
        <v>1248</v>
      </c>
      <c r="F63" t="s">
        <v>1344</v>
      </c>
      <c r="H63" t="s">
        <v>1157</v>
      </c>
      <c r="I63">
        <v>10</v>
      </c>
      <c r="J63" t="s">
        <v>1327</v>
      </c>
      <c r="L63" t="s">
        <v>1345</v>
      </c>
    </row>
    <row r="64" spans="1:12" x14ac:dyDescent="0.3">
      <c r="A64">
        <v>63</v>
      </c>
      <c r="B64" t="s">
        <v>1284</v>
      </c>
      <c r="C64" t="s">
        <v>1344</v>
      </c>
      <c r="D64" t="s">
        <v>1346</v>
      </c>
      <c r="F64" t="s">
        <v>1344</v>
      </c>
      <c r="H64" t="s">
        <v>1157</v>
      </c>
      <c r="I64">
        <v>10</v>
      </c>
      <c r="J64" t="s">
        <v>1327</v>
      </c>
    </row>
    <row r="65" spans="1:12" x14ac:dyDescent="0.3">
      <c r="A65">
        <v>64</v>
      </c>
      <c r="B65" t="s">
        <v>1284</v>
      </c>
      <c r="C65" t="s">
        <v>1344</v>
      </c>
      <c r="D65" t="s">
        <v>1348</v>
      </c>
      <c r="F65" t="s">
        <v>1344</v>
      </c>
      <c r="H65" t="s">
        <v>1157</v>
      </c>
      <c r="I65">
        <v>5</v>
      </c>
      <c r="J65" t="s">
        <v>1327</v>
      </c>
    </row>
    <row r="66" spans="1:12" x14ac:dyDescent="0.3">
      <c r="A66">
        <v>65</v>
      </c>
      <c r="B66" t="s">
        <v>1284</v>
      </c>
      <c r="C66" t="s">
        <v>1344</v>
      </c>
      <c r="D66" t="s">
        <v>1245</v>
      </c>
      <c r="F66" t="s">
        <v>1344</v>
      </c>
      <c r="H66" t="s">
        <v>1157</v>
      </c>
      <c r="I66">
        <v>10</v>
      </c>
      <c r="J66" t="s">
        <v>1327</v>
      </c>
    </row>
    <row r="67" spans="1:12" x14ac:dyDescent="0.3">
      <c r="A67">
        <v>66</v>
      </c>
      <c r="B67" t="s">
        <v>1284</v>
      </c>
      <c r="C67" t="s">
        <v>1344</v>
      </c>
      <c r="D67" t="s">
        <v>1347</v>
      </c>
      <c r="F67" t="s">
        <v>1344</v>
      </c>
      <c r="H67" t="s">
        <v>1157</v>
      </c>
      <c r="I67">
        <v>5</v>
      </c>
      <c r="J67" t="s">
        <v>1327</v>
      </c>
    </row>
    <row r="68" spans="1:12" x14ac:dyDescent="0.3">
      <c r="A68">
        <v>67</v>
      </c>
      <c r="B68" t="s">
        <v>1284</v>
      </c>
      <c r="C68" t="s">
        <v>1355</v>
      </c>
      <c r="D68" t="s">
        <v>1364</v>
      </c>
      <c r="F68" t="s">
        <v>1365</v>
      </c>
      <c r="H68" t="s">
        <v>1157</v>
      </c>
      <c r="I68">
        <v>5</v>
      </c>
      <c r="J68" t="s">
        <v>1357</v>
      </c>
      <c r="L68" t="s">
        <v>1366</v>
      </c>
    </row>
    <row r="69" spans="1:12" x14ac:dyDescent="0.3">
      <c r="A69">
        <v>68</v>
      </c>
      <c r="B69" t="s">
        <v>1284</v>
      </c>
      <c r="C69" t="s">
        <v>1355</v>
      </c>
      <c r="D69" t="s">
        <v>1360</v>
      </c>
      <c r="F69" t="s">
        <v>1355</v>
      </c>
      <c r="H69" t="s">
        <v>1157</v>
      </c>
      <c r="I69">
        <v>5</v>
      </c>
      <c r="J69" t="s">
        <v>1357</v>
      </c>
    </row>
    <row r="70" spans="1:12" x14ac:dyDescent="0.3">
      <c r="A70">
        <v>69</v>
      </c>
      <c r="B70" t="s">
        <v>1284</v>
      </c>
      <c r="C70" t="s">
        <v>1355</v>
      </c>
      <c r="D70" t="s">
        <v>1356</v>
      </c>
      <c r="F70" t="s">
        <v>1355</v>
      </c>
      <c r="H70" t="s">
        <v>1157</v>
      </c>
      <c r="I70">
        <v>5</v>
      </c>
      <c r="J70" t="s">
        <v>1357</v>
      </c>
    </row>
    <row r="71" spans="1:12" x14ac:dyDescent="0.3">
      <c r="A71">
        <v>70</v>
      </c>
      <c r="B71" t="s">
        <v>1284</v>
      </c>
      <c r="C71" t="s">
        <v>1355</v>
      </c>
      <c r="D71" t="s">
        <v>1362</v>
      </c>
      <c r="F71" t="s">
        <v>1359</v>
      </c>
      <c r="H71" t="s">
        <v>1157</v>
      </c>
      <c r="I71">
        <v>5</v>
      </c>
      <c r="J71" t="s">
        <v>1357</v>
      </c>
    </row>
    <row r="72" spans="1:12" x14ac:dyDescent="0.3">
      <c r="A72">
        <v>71</v>
      </c>
      <c r="B72" t="s">
        <v>1284</v>
      </c>
      <c r="C72" t="s">
        <v>1355</v>
      </c>
      <c r="D72" t="s">
        <v>1361</v>
      </c>
      <c r="F72" t="s">
        <v>1359</v>
      </c>
      <c r="H72" t="s">
        <v>1157</v>
      </c>
      <c r="I72">
        <v>5</v>
      </c>
      <c r="J72" t="s">
        <v>1357</v>
      </c>
    </row>
    <row r="73" spans="1:12" x14ac:dyDescent="0.3">
      <c r="A73">
        <v>72</v>
      </c>
      <c r="B73" t="s">
        <v>1284</v>
      </c>
      <c r="C73" t="s">
        <v>1355</v>
      </c>
      <c r="D73" t="s">
        <v>1363</v>
      </c>
      <c r="F73" t="s">
        <v>1355</v>
      </c>
      <c r="H73" t="s">
        <v>1157</v>
      </c>
      <c r="I73">
        <v>5</v>
      </c>
      <c r="J73" t="s">
        <v>1357</v>
      </c>
    </row>
    <row r="74" spans="1:12" x14ac:dyDescent="0.3">
      <c r="A74">
        <v>73</v>
      </c>
      <c r="B74" t="s">
        <v>1284</v>
      </c>
      <c r="C74" t="s">
        <v>1355</v>
      </c>
      <c r="D74" t="s">
        <v>1358</v>
      </c>
      <c r="F74" t="s">
        <v>1359</v>
      </c>
      <c r="H74" t="s">
        <v>1157</v>
      </c>
      <c r="I74">
        <v>10</v>
      </c>
      <c r="J74" t="s">
        <v>1357</v>
      </c>
    </row>
    <row r="75" spans="1:12" x14ac:dyDescent="0.3">
      <c r="A75">
        <v>74</v>
      </c>
      <c r="B75" t="s">
        <v>1284</v>
      </c>
      <c r="C75" t="s">
        <v>1378</v>
      </c>
      <c r="D75" t="s">
        <v>1329</v>
      </c>
      <c r="F75" t="s">
        <v>1383</v>
      </c>
      <c r="H75" t="s">
        <v>1151</v>
      </c>
      <c r="I75">
        <v>10</v>
      </c>
      <c r="J75" t="s">
        <v>1327</v>
      </c>
      <c r="K75" t="s">
        <v>1384</v>
      </c>
      <c r="L75" t="s">
        <v>1393</v>
      </c>
    </row>
    <row r="76" spans="1:12" x14ac:dyDescent="0.3">
      <c r="A76">
        <v>75</v>
      </c>
      <c r="B76" t="s">
        <v>1284</v>
      </c>
      <c r="C76" t="s">
        <v>1378</v>
      </c>
      <c r="D76" t="s">
        <v>1389</v>
      </c>
      <c r="F76" t="s">
        <v>1390</v>
      </c>
      <c r="H76" t="s">
        <v>1151</v>
      </c>
      <c r="I76">
        <v>10</v>
      </c>
      <c r="J76" t="s">
        <v>1327</v>
      </c>
      <c r="K76" t="s">
        <v>1384</v>
      </c>
    </row>
    <row r="77" spans="1:12" x14ac:dyDescent="0.3">
      <c r="A77">
        <v>76</v>
      </c>
      <c r="B77" t="s">
        <v>1284</v>
      </c>
      <c r="C77" t="s">
        <v>1378</v>
      </c>
      <c r="D77" t="s">
        <v>1391</v>
      </c>
      <c r="F77" t="s">
        <v>1392</v>
      </c>
      <c r="H77" t="s">
        <v>1151</v>
      </c>
      <c r="I77">
        <v>10</v>
      </c>
      <c r="J77" t="s">
        <v>1327</v>
      </c>
      <c r="K77" t="s">
        <v>1384</v>
      </c>
    </row>
    <row r="78" spans="1:12" x14ac:dyDescent="0.3">
      <c r="A78">
        <v>77</v>
      </c>
      <c r="B78" t="s">
        <v>1284</v>
      </c>
      <c r="C78" t="s">
        <v>1378</v>
      </c>
      <c r="D78" t="s">
        <v>1382</v>
      </c>
      <c r="F78" t="s">
        <v>1383</v>
      </c>
      <c r="H78" t="s">
        <v>1157</v>
      </c>
      <c r="I78">
        <v>10</v>
      </c>
      <c r="J78" t="s">
        <v>1327</v>
      </c>
      <c r="K78" t="s">
        <v>1384</v>
      </c>
    </row>
    <row r="79" spans="1:12" x14ac:dyDescent="0.3">
      <c r="A79">
        <v>78</v>
      </c>
      <c r="B79" t="s">
        <v>1284</v>
      </c>
      <c r="C79" t="s">
        <v>1378</v>
      </c>
      <c r="D79" t="s">
        <v>1340</v>
      </c>
      <c r="F79" t="s">
        <v>1380</v>
      </c>
      <c r="H79" t="s">
        <v>1157</v>
      </c>
      <c r="I79">
        <v>10</v>
      </c>
      <c r="J79" t="s">
        <v>1327</v>
      </c>
      <c r="K79" t="s">
        <v>1384</v>
      </c>
    </row>
    <row r="80" spans="1:12" x14ac:dyDescent="0.3">
      <c r="A80">
        <v>79</v>
      </c>
      <c r="B80" t="s">
        <v>1284</v>
      </c>
      <c r="C80" t="s">
        <v>1378</v>
      </c>
      <c r="D80" t="s">
        <v>1358</v>
      </c>
      <c r="F80" t="s">
        <v>1385</v>
      </c>
      <c r="H80" t="s">
        <v>1157</v>
      </c>
      <c r="I80">
        <v>10</v>
      </c>
      <c r="J80" t="s">
        <v>1327</v>
      </c>
      <c r="K80" t="s">
        <v>1384</v>
      </c>
    </row>
    <row r="81" spans="1:12" x14ac:dyDescent="0.3">
      <c r="A81">
        <v>80</v>
      </c>
      <c r="B81" t="s">
        <v>1284</v>
      </c>
      <c r="C81" t="s">
        <v>1378</v>
      </c>
      <c r="D81" t="s">
        <v>1386</v>
      </c>
      <c r="F81" t="s">
        <v>1385</v>
      </c>
      <c r="H81" t="s">
        <v>1157</v>
      </c>
      <c r="I81">
        <v>10</v>
      </c>
      <c r="J81" t="s">
        <v>1327</v>
      </c>
      <c r="K81" t="s">
        <v>1384</v>
      </c>
    </row>
    <row r="82" spans="1:12" x14ac:dyDescent="0.3">
      <c r="A82">
        <v>81</v>
      </c>
      <c r="B82" t="s">
        <v>1284</v>
      </c>
      <c r="C82" t="s">
        <v>1378</v>
      </c>
      <c r="D82" t="s">
        <v>1387</v>
      </c>
      <c r="F82" t="s">
        <v>1388</v>
      </c>
      <c r="H82" t="s">
        <v>1151</v>
      </c>
      <c r="I82">
        <v>10</v>
      </c>
      <c r="J82" t="s">
        <v>1327</v>
      </c>
      <c r="K82" t="s">
        <v>1384</v>
      </c>
    </row>
    <row r="83" spans="1:12" x14ac:dyDescent="0.3">
      <c r="A83">
        <v>82</v>
      </c>
      <c r="B83" t="s">
        <v>1284</v>
      </c>
      <c r="C83" t="s">
        <v>1378</v>
      </c>
      <c r="D83" t="s">
        <v>1394</v>
      </c>
      <c r="F83" t="s">
        <v>1390</v>
      </c>
      <c r="H83" t="s">
        <v>1151</v>
      </c>
      <c r="I83">
        <v>10</v>
      </c>
      <c r="J83" t="s">
        <v>1327</v>
      </c>
      <c r="K83" t="s">
        <v>1384</v>
      </c>
      <c r="L83" t="s">
        <v>1395</v>
      </c>
    </row>
    <row r="84" spans="1:12" x14ac:dyDescent="0.3">
      <c r="A84">
        <v>83</v>
      </c>
      <c r="B84" t="s">
        <v>1284</v>
      </c>
      <c r="C84" t="s">
        <v>1401</v>
      </c>
      <c r="D84" t="s">
        <v>1362</v>
      </c>
      <c r="F84" t="s">
        <v>1402</v>
      </c>
      <c r="H84" t="s">
        <v>1157</v>
      </c>
      <c r="I84">
        <v>20</v>
      </c>
      <c r="J84" t="s">
        <v>1318</v>
      </c>
      <c r="K84" t="s">
        <v>1403</v>
      </c>
      <c r="L84" t="s">
        <v>1406</v>
      </c>
    </row>
    <row r="85" spans="1:12" x14ac:dyDescent="0.3">
      <c r="A85">
        <v>84</v>
      </c>
      <c r="B85" t="s">
        <v>1284</v>
      </c>
      <c r="C85" t="s">
        <v>1401</v>
      </c>
      <c r="D85" t="s">
        <v>1361</v>
      </c>
      <c r="F85" t="s">
        <v>1402</v>
      </c>
      <c r="H85" t="s">
        <v>1157</v>
      </c>
      <c r="I85">
        <v>20</v>
      </c>
      <c r="J85" t="s">
        <v>1318</v>
      </c>
      <c r="K85" t="s">
        <v>1403</v>
      </c>
    </row>
    <row r="86" spans="1:12" x14ac:dyDescent="0.3">
      <c r="A86">
        <v>85</v>
      </c>
      <c r="B86" t="s">
        <v>1284</v>
      </c>
      <c r="C86" t="s">
        <v>1401</v>
      </c>
      <c r="D86" t="s">
        <v>1358</v>
      </c>
      <c r="F86" t="s">
        <v>1402</v>
      </c>
      <c r="H86" t="s">
        <v>1157</v>
      </c>
      <c r="I86">
        <v>20</v>
      </c>
      <c r="J86" t="s">
        <v>1318</v>
      </c>
      <c r="K86" t="s">
        <v>1403</v>
      </c>
    </row>
    <row r="87" spans="1:12" x14ac:dyDescent="0.3">
      <c r="A87">
        <v>86</v>
      </c>
      <c r="B87" t="s">
        <v>1284</v>
      </c>
      <c r="C87" t="s">
        <v>1401</v>
      </c>
      <c r="D87" t="s">
        <v>1404</v>
      </c>
      <c r="F87" t="s">
        <v>1402</v>
      </c>
      <c r="H87" t="s">
        <v>1160</v>
      </c>
      <c r="I87">
        <v>20</v>
      </c>
      <c r="J87" t="s">
        <v>1318</v>
      </c>
      <c r="K87" t="s">
        <v>1403</v>
      </c>
      <c r="L87" t="s">
        <v>1405</v>
      </c>
    </row>
    <row r="88" spans="1:12" x14ac:dyDescent="0.3">
      <c r="A88">
        <v>87</v>
      </c>
      <c r="B88" t="s">
        <v>1284</v>
      </c>
      <c r="C88" t="s">
        <v>1401</v>
      </c>
      <c r="D88" t="s">
        <v>1340</v>
      </c>
      <c r="F88" t="s">
        <v>1402</v>
      </c>
      <c r="H88" t="s">
        <v>1157</v>
      </c>
      <c r="I88">
        <v>20</v>
      </c>
      <c r="J88" t="s">
        <v>1318</v>
      </c>
      <c r="K88" t="s">
        <v>1403</v>
      </c>
    </row>
    <row r="89" spans="1:12" x14ac:dyDescent="0.3">
      <c r="A89">
        <v>88</v>
      </c>
      <c r="B89" t="s">
        <v>1284</v>
      </c>
      <c r="C89" t="s">
        <v>1401</v>
      </c>
      <c r="D89" t="s">
        <v>1411</v>
      </c>
      <c r="F89" t="s">
        <v>1402</v>
      </c>
      <c r="H89" t="s">
        <v>1157</v>
      </c>
      <c r="I89">
        <v>20</v>
      </c>
      <c r="J89" t="s">
        <v>1318</v>
      </c>
      <c r="K89" t="s">
        <v>1403</v>
      </c>
    </row>
    <row r="90" spans="1:12" x14ac:dyDescent="0.3">
      <c r="A90">
        <v>89</v>
      </c>
      <c r="B90" t="s">
        <v>1284</v>
      </c>
      <c r="C90" t="s">
        <v>1401</v>
      </c>
      <c r="D90" t="s">
        <v>1407</v>
      </c>
      <c r="F90" t="s">
        <v>1408</v>
      </c>
      <c r="H90" t="s">
        <v>1409</v>
      </c>
      <c r="I90">
        <v>20</v>
      </c>
      <c r="J90" t="s">
        <v>1318</v>
      </c>
      <c r="K90" t="s">
        <v>1410</v>
      </c>
    </row>
    <row r="91" spans="1:12" x14ac:dyDescent="0.3">
      <c r="A91">
        <v>90</v>
      </c>
      <c r="B91" t="s">
        <v>1284</v>
      </c>
      <c r="C91" t="s">
        <v>1401</v>
      </c>
      <c r="D91" t="s">
        <v>1382</v>
      </c>
      <c r="F91" t="s">
        <v>1402</v>
      </c>
      <c r="H91" t="s">
        <v>1157</v>
      </c>
      <c r="I91">
        <v>20</v>
      </c>
      <c r="J91" t="s">
        <v>1318</v>
      </c>
      <c r="K91" t="s">
        <v>1403</v>
      </c>
    </row>
    <row r="92" spans="1:12" x14ac:dyDescent="0.3">
      <c r="A92">
        <v>91</v>
      </c>
      <c r="B92" t="s">
        <v>1284</v>
      </c>
      <c r="C92" t="s">
        <v>1413</v>
      </c>
      <c r="D92" t="s">
        <v>1214</v>
      </c>
      <c r="F92" t="s">
        <v>1420</v>
      </c>
      <c r="H92" t="s">
        <v>1217</v>
      </c>
      <c r="I92">
        <v>10</v>
      </c>
      <c r="J92" t="s">
        <v>1415</v>
      </c>
      <c r="L92" t="s">
        <v>1427</v>
      </c>
    </row>
    <row r="93" spans="1:12" x14ac:dyDescent="0.3">
      <c r="A93">
        <v>92</v>
      </c>
      <c r="B93" t="s">
        <v>1284</v>
      </c>
      <c r="C93" t="s">
        <v>1413</v>
      </c>
      <c r="D93" t="s">
        <v>1220</v>
      </c>
      <c r="F93" t="s">
        <v>1420</v>
      </c>
      <c r="H93" t="s">
        <v>1160</v>
      </c>
      <c r="I93">
        <v>10</v>
      </c>
      <c r="J93" t="s">
        <v>1415</v>
      </c>
    </row>
    <row r="94" spans="1:12" x14ac:dyDescent="0.3">
      <c r="A94">
        <v>93</v>
      </c>
      <c r="B94" t="s">
        <v>1284</v>
      </c>
      <c r="C94" t="s">
        <v>1413</v>
      </c>
      <c r="D94" t="s">
        <v>1224</v>
      </c>
      <c r="F94" t="s">
        <v>1420</v>
      </c>
      <c r="H94" t="s">
        <v>1151</v>
      </c>
      <c r="I94">
        <v>10</v>
      </c>
      <c r="J94" t="s">
        <v>1415</v>
      </c>
    </row>
    <row r="95" spans="1:12" x14ac:dyDescent="0.3">
      <c r="A95">
        <v>94</v>
      </c>
      <c r="B95" t="s">
        <v>1284</v>
      </c>
      <c r="C95" t="s">
        <v>1413</v>
      </c>
      <c r="D95" t="s">
        <v>1424</v>
      </c>
      <c r="F95" t="s">
        <v>1425</v>
      </c>
      <c r="H95" t="s">
        <v>1217</v>
      </c>
      <c r="I95">
        <v>5</v>
      </c>
      <c r="J95" t="s">
        <v>1415</v>
      </c>
      <c r="L95" t="s">
        <v>1426</v>
      </c>
    </row>
    <row r="96" spans="1:12" x14ac:dyDescent="0.3">
      <c r="A96">
        <v>95</v>
      </c>
      <c r="B96" t="s">
        <v>1284</v>
      </c>
      <c r="C96" t="s">
        <v>1413</v>
      </c>
      <c r="D96" t="s">
        <v>1389</v>
      </c>
      <c r="F96" t="s">
        <v>1414</v>
      </c>
      <c r="H96" t="s">
        <v>1151</v>
      </c>
      <c r="I96">
        <v>10</v>
      </c>
      <c r="J96" t="s">
        <v>1415</v>
      </c>
    </row>
    <row r="97" spans="1:12" x14ac:dyDescent="0.3">
      <c r="A97">
        <v>96</v>
      </c>
      <c r="B97" t="s">
        <v>1284</v>
      </c>
      <c r="C97" t="s">
        <v>1413</v>
      </c>
      <c r="D97" t="s">
        <v>1279</v>
      </c>
      <c r="F97" t="s">
        <v>1414</v>
      </c>
      <c r="H97" t="s">
        <v>1280</v>
      </c>
      <c r="I97">
        <v>10</v>
      </c>
      <c r="J97" t="s">
        <v>1415</v>
      </c>
    </row>
    <row r="98" spans="1:12" x14ac:dyDescent="0.3">
      <c r="A98">
        <v>97</v>
      </c>
      <c r="B98" t="s">
        <v>1284</v>
      </c>
      <c r="C98" t="s">
        <v>1413</v>
      </c>
      <c r="D98" t="s">
        <v>1252</v>
      </c>
      <c r="F98" t="s">
        <v>1416</v>
      </c>
      <c r="H98" t="s">
        <v>1151</v>
      </c>
      <c r="I98">
        <v>10</v>
      </c>
      <c r="J98" t="s">
        <v>1415</v>
      </c>
    </row>
    <row r="99" spans="1:12" x14ac:dyDescent="0.3">
      <c r="A99">
        <v>98</v>
      </c>
      <c r="B99" t="s">
        <v>1284</v>
      </c>
      <c r="C99" t="s">
        <v>1413</v>
      </c>
      <c r="D99" t="s">
        <v>1419</v>
      </c>
      <c r="F99" t="s">
        <v>1420</v>
      </c>
      <c r="H99" t="s">
        <v>1151</v>
      </c>
      <c r="I99">
        <v>10</v>
      </c>
      <c r="J99" t="s">
        <v>1415</v>
      </c>
      <c r="L99" t="s">
        <v>1273</v>
      </c>
    </row>
    <row r="100" spans="1:12" x14ac:dyDescent="0.3">
      <c r="A100">
        <v>99</v>
      </c>
      <c r="B100" t="s">
        <v>1284</v>
      </c>
      <c r="C100" t="s">
        <v>1413</v>
      </c>
      <c r="D100" t="s">
        <v>1340</v>
      </c>
      <c r="F100" t="s">
        <v>1420</v>
      </c>
      <c r="H100" t="s">
        <v>1157</v>
      </c>
      <c r="I100">
        <v>10</v>
      </c>
      <c r="J100" t="s">
        <v>1415</v>
      </c>
    </row>
    <row r="101" spans="1:12" x14ac:dyDescent="0.3">
      <c r="A101">
        <v>100</v>
      </c>
      <c r="B101" t="s">
        <v>1284</v>
      </c>
      <c r="C101" t="s">
        <v>1413</v>
      </c>
      <c r="D101" t="s">
        <v>1329</v>
      </c>
      <c r="F101" t="s">
        <v>1423</v>
      </c>
      <c r="H101" t="s">
        <v>1151</v>
      </c>
      <c r="I101">
        <v>10</v>
      </c>
      <c r="J101" t="s">
        <v>1415</v>
      </c>
    </row>
    <row r="102" spans="1:12" x14ac:dyDescent="0.3">
      <c r="A102">
        <v>101</v>
      </c>
      <c r="B102" t="s">
        <v>1284</v>
      </c>
      <c r="C102" t="s">
        <v>1447</v>
      </c>
      <c r="D102" t="s">
        <v>1448</v>
      </c>
      <c r="F102" t="s">
        <v>1447</v>
      </c>
      <c r="H102" t="s">
        <v>1151</v>
      </c>
      <c r="I102">
        <v>1</v>
      </c>
      <c r="J102" t="s">
        <v>1449</v>
      </c>
      <c r="L102" t="s">
        <v>1450</v>
      </c>
    </row>
    <row r="103" spans="1:12" x14ac:dyDescent="0.3">
      <c r="A103">
        <v>102</v>
      </c>
      <c r="B103" t="s">
        <v>1284</v>
      </c>
      <c r="C103" t="s">
        <v>1447</v>
      </c>
      <c r="D103" t="s">
        <v>1451</v>
      </c>
      <c r="F103" t="s">
        <v>1447</v>
      </c>
      <c r="H103" t="s">
        <v>1151</v>
      </c>
      <c r="I103">
        <v>1</v>
      </c>
      <c r="J103" t="s">
        <v>1449</v>
      </c>
      <c r="L103" t="s">
        <v>1452</v>
      </c>
    </row>
    <row r="104" spans="1:12" x14ac:dyDescent="0.3">
      <c r="A104">
        <v>103</v>
      </c>
      <c r="B104" t="s">
        <v>1284</v>
      </c>
      <c r="C104" t="s">
        <v>1454</v>
      </c>
      <c r="D104" t="s">
        <v>1457</v>
      </c>
      <c r="F104" t="s">
        <v>1456</v>
      </c>
      <c r="H104" t="s">
        <v>1160</v>
      </c>
      <c r="I104">
        <v>10</v>
      </c>
      <c r="J104" t="s">
        <v>1398</v>
      </c>
      <c r="K104" t="s">
        <v>1384</v>
      </c>
      <c r="L104" t="s">
        <v>1458</v>
      </c>
    </row>
    <row r="105" spans="1:12" x14ac:dyDescent="0.3">
      <c r="A105">
        <v>104</v>
      </c>
      <c r="B105" t="s">
        <v>1284</v>
      </c>
      <c r="C105" t="s">
        <v>1454</v>
      </c>
      <c r="D105" t="s">
        <v>1455</v>
      </c>
      <c r="F105" t="s">
        <v>1456</v>
      </c>
      <c r="H105" t="s">
        <v>1160</v>
      </c>
      <c r="I105">
        <v>10</v>
      </c>
      <c r="J105" t="s">
        <v>1398</v>
      </c>
      <c r="K105" t="s">
        <v>1384</v>
      </c>
    </row>
    <row r="106" spans="1:12" x14ac:dyDescent="0.3">
      <c r="A106">
        <v>105</v>
      </c>
      <c r="B106" t="s">
        <v>1284</v>
      </c>
      <c r="C106" t="s">
        <v>1454</v>
      </c>
      <c r="D106" t="s">
        <v>1459</v>
      </c>
      <c r="F106" t="s">
        <v>1456</v>
      </c>
      <c r="H106" t="s">
        <v>1160</v>
      </c>
      <c r="I106">
        <v>10</v>
      </c>
      <c r="J106" t="s">
        <v>1398</v>
      </c>
      <c r="K106" t="s">
        <v>1384</v>
      </c>
    </row>
    <row r="107" spans="1:12" x14ac:dyDescent="0.3">
      <c r="A107">
        <v>106</v>
      </c>
      <c r="B107" t="s">
        <v>1284</v>
      </c>
      <c r="C107" t="s">
        <v>1326</v>
      </c>
      <c r="D107" t="s">
        <v>1329</v>
      </c>
      <c r="F107" t="s">
        <v>1326</v>
      </c>
      <c r="H107" t="s">
        <v>1280</v>
      </c>
      <c r="I107">
        <v>10</v>
      </c>
      <c r="J107" t="s">
        <v>1327</v>
      </c>
      <c r="L107" t="s">
        <v>1330</v>
      </c>
    </row>
    <row r="108" spans="1:12" x14ac:dyDescent="0.3">
      <c r="A108">
        <v>107</v>
      </c>
      <c r="B108" t="s">
        <v>1284</v>
      </c>
      <c r="C108" t="s">
        <v>1326</v>
      </c>
      <c r="D108" t="s">
        <v>1328</v>
      </c>
      <c r="F108" t="s">
        <v>1326</v>
      </c>
      <c r="H108" t="s">
        <v>1160</v>
      </c>
      <c r="I108">
        <v>10</v>
      </c>
      <c r="J108" t="s">
        <v>1327</v>
      </c>
    </row>
    <row r="109" spans="1:12" x14ac:dyDescent="0.3">
      <c r="A109">
        <v>108</v>
      </c>
      <c r="B109" t="s">
        <v>1284</v>
      </c>
      <c r="C109" t="s">
        <v>1326</v>
      </c>
      <c r="D109" t="s">
        <v>64</v>
      </c>
      <c r="F109" t="s">
        <v>1326</v>
      </c>
      <c r="H109" t="s">
        <v>1172</v>
      </c>
      <c r="I109">
        <v>10</v>
      </c>
      <c r="J109" t="s">
        <v>1327</v>
      </c>
    </row>
    <row r="110" spans="1:12" x14ac:dyDescent="0.3">
      <c r="A110">
        <v>109</v>
      </c>
      <c r="B110" t="s">
        <v>1284</v>
      </c>
      <c r="C110" t="s">
        <v>1439</v>
      </c>
      <c r="D110" t="s">
        <v>1440</v>
      </c>
      <c r="F110" t="s">
        <v>1441</v>
      </c>
      <c r="H110" t="s">
        <v>1157</v>
      </c>
      <c r="I110">
        <v>10</v>
      </c>
      <c r="J110" t="s">
        <v>1327</v>
      </c>
      <c r="L110" t="s">
        <v>1442</v>
      </c>
    </row>
    <row r="111" spans="1:12" x14ac:dyDescent="0.3">
      <c r="A111">
        <v>110</v>
      </c>
      <c r="B111" t="s">
        <v>1284</v>
      </c>
      <c r="C111" t="s">
        <v>1439</v>
      </c>
      <c r="D111" t="s">
        <v>1252</v>
      </c>
      <c r="F111" t="s">
        <v>1441</v>
      </c>
      <c r="H111" t="s">
        <v>1157</v>
      </c>
      <c r="I111">
        <v>10</v>
      </c>
      <c r="J111" t="s">
        <v>1327</v>
      </c>
    </row>
    <row r="112" spans="1:12" x14ac:dyDescent="0.3">
      <c r="A112">
        <v>111</v>
      </c>
      <c r="B112" t="s">
        <v>1284</v>
      </c>
      <c r="C112" t="s">
        <v>1439</v>
      </c>
      <c r="D112" t="s">
        <v>1255</v>
      </c>
      <c r="F112" t="s">
        <v>1441</v>
      </c>
      <c r="H112" t="s">
        <v>1157</v>
      </c>
      <c r="I112">
        <v>10</v>
      </c>
      <c r="J112" t="s">
        <v>1327</v>
      </c>
      <c r="L112" t="s">
        <v>1445</v>
      </c>
    </row>
    <row r="113" spans="1:10" x14ac:dyDescent="0.3">
      <c r="A113">
        <v>112</v>
      </c>
      <c r="B113" t="s">
        <v>1284</v>
      </c>
      <c r="C113" t="s">
        <v>1439</v>
      </c>
      <c r="D113" t="s">
        <v>1340</v>
      </c>
      <c r="F113" t="s">
        <v>1441</v>
      </c>
      <c r="H113" t="s">
        <v>1157</v>
      </c>
      <c r="I113">
        <v>10</v>
      </c>
      <c r="J113" t="s">
        <v>1327</v>
      </c>
    </row>
    <row r="114" spans="1:10" x14ac:dyDescent="0.3">
      <c r="A114">
        <v>113</v>
      </c>
      <c r="B114" t="s">
        <v>1284</v>
      </c>
      <c r="C114" t="s">
        <v>1439</v>
      </c>
      <c r="D114" t="s">
        <v>1391</v>
      </c>
      <c r="F114" t="s">
        <v>1443</v>
      </c>
      <c r="H114" t="s">
        <v>1157</v>
      </c>
      <c r="I114">
        <v>10</v>
      </c>
      <c r="J114" t="s">
        <v>1327</v>
      </c>
    </row>
    <row r="115" spans="1:10" x14ac:dyDescent="0.3">
      <c r="A115">
        <v>114</v>
      </c>
      <c r="B115" t="s">
        <v>1284</v>
      </c>
      <c r="C115" t="s">
        <v>1439</v>
      </c>
      <c r="D115" t="s">
        <v>1245</v>
      </c>
      <c r="F115" t="s">
        <v>1441</v>
      </c>
      <c r="H115" t="s">
        <v>1157</v>
      </c>
      <c r="I115">
        <v>10</v>
      </c>
      <c r="J115" t="s">
        <v>1327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15"/>
  <sheetViews>
    <sheetView topLeftCell="A13" workbookViewId="0"/>
  </sheetViews>
  <sheetFormatPr defaultRowHeight="14.4" x14ac:dyDescent="0.3"/>
  <sheetData>
    <row r="1" spans="1:12" x14ac:dyDescent="0.3">
      <c r="A1" t="s">
        <v>226</v>
      </c>
      <c r="B1" t="s">
        <v>1555</v>
      </c>
      <c r="C1" t="s">
        <v>1556</v>
      </c>
      <c r="D1" t="s">
        <v>227</v>
      </c>
      <c r="E1" t="s">
        <v>1557</v>
      </c>
      <c r="F1" t="s">
        <v>1558</v>
      </c>
      <c r="G1" t="s">
        <v>1559</v>
      </c>
      <c r="H1" t="s">
        <v>1560</v>
      </c>
      <c r="I1" t="s">
        <v>1561</v>
      </c>
      <c r="J1" t="s">
        <v>1562</v>
      </c>
      <c r="K1" t="s">
        <v>1563</v>
      </c>
      <c r="L1" t="s">
        <v>234</v>
      </c>
    </row>
    <row r="2" spans="1:12" x14ac:dyDescent="0.3">
      <c r="A2">
        <v>1</v>
      </c>
      <c r="B2" t="s">
        <v>1145</v>
      </c>
      <c r="C2" t="s">
        <v>1146</v>
      </c>
      <c r="D2" t="s">
        <v>1175</v>
      </c>
      <c r="E2" t="s">
        <v>1122</v>
      </c>
      <c r="F2" t="s">
        <v>1156</v>
      </c>
      <c r="G2" t="s">
        <v>1176</v>
      </c>
      <c r="H2" t="s">
        <v>1160</v>
      </c>
      <c r="I2">
        <v>5</v>
      </c>
      <c r="J2" t="s">
        <v>1152</v>
      </c>
      <c r="L2" t="s">
        <v>1177</v>
      </c>
    </row>
    <row r="3" spans="1:12" x14ac:dyDescent="0.3">
      <c r="A3">
        <v>2</v>
      </c>
      <c r="B3" t="s">
        <v>1145</v>
      </c>
      <c r="C3" t="s">
        <v>1146</v>
      </c>
      <c r="D3" t="s">
        <v>1159</v>
      </c>
      <c r="E3" t="s">
        <v>1067</v>
      </c>
      <c r="F3" t="s">
        <v>1156</v>
      </c>
      <c r="G3" t="s">
        <v>1150</v>
      </c>
      <c r="H3" t="s">
        <v>1160</v>
      </c>
      <c r="I3">
        <v>10</v>
      </c>
      <c r="J3" t="s">
        <v>1152</v>
      </c>
      <c r="K3" t="s">
        <v>1161</v>
      </c>
      <c r="L3" t="s">
        <v>1162</v>
      </c>
    </row>
    <row r="4" spans="1:12" x14ac:dyDescent="0.3">
      <c r="A4">
        <v>3</v>
      </c>
      <c r="B4" t="s">
        <v>1145</v>
      </c>
      <c r="C4" t="s">
        <v>1146</v>
      </c>
      <c r="D4" t="s">
        <v>1163</v>
      </c>
      <c r="E4" t="s">
        <v>1164</v>
      </c>
      <c r="F4" t="s">
        <v>1156</v>
      </c>
      <c r="G4" t="s">
        <v>1043</v>
      </c>
      <c r="H4" t="s">
        <v>1165</v>
      </c>
      <c r="I4">
        <v>10</v>
      </c>
      <c r="J4" t="s">
        <v>1152</v>
      </c>
      <c r="L4" t="s">
        <v>1166</v>
      </c>
    </row>
    <row r="5" spans="1:12" x14ac:dyDescent="0.3">
      <c r="A5">
        <v>4</v>
      </c>
      <c r="B5" t="s">
        <v>1145</v>
      </c>
      <c r="C5" t="s">
        <v>1146</v>
      </c>
      <c r="D5" t="s">
        <v>1178</v>
      </c>
      <c r="E5" t="s">
        <v>1179</v>
      </c>
      <c r="F5" t="s">
        <v>1156</v>
      </c>
      <c r="G5" t="s">
        <v>1043</v>
      </c>
      <c r="H5" t="s">
        <v>1160</v>
      </c>
      <c r="I5">
        <v>10</v>
      </c>
      <c r="J5" t="s">
        <v>1152</v>
      </c>
    </row>
    <row r="6" spans="1:12" x14ac:dyDescent="0.3">
      <c r="A6">
        <v>5</v>
      </c>
      <c r="B6" t="s">
        <v>1145</v>
      </c>
      <c r="C6" t="s">
        <v>1146</v>
      </c>
      <c r="D6" t="s">
        <v>1180</v>
      </c>
      <c r="E6" t="s">
        <v>1034</v>
      </c>
      <c r="F6" t="s">
        <v>1156</v>
      </c>
      <c r="G6" t="s">
        <v>1125</v>
      </c>
      <c r="H6" t="s">
        <v>1165</v>
      </c>
      <c r="I6">
        <v>10</v>
      </c>
      <c r="J6" t="s">
        <v>1152</v>
      </c>
      <c r="L6" t="s">
        <v>1181</v>
      </c>
    </row>
    <row r="7" spans="1:12" x14ac:dyDescent="0.3">
      <c r="A7">
        <v>6</v>
      </c>
      <c r="B7" t="s">
        <v>1145</v>
      </c>
      <c r="C7" t="s">
        <v>1146</v>
      </c>
      <c r="D7" t="s">
        <v>1192</v>
      </c>
      <c r="E7" t="s">
        <v>1193</v>
      </c>
      <c r="F7" t="s">
        <v>1156</v>
      </c>
      <c r="G7" t="s">
        <v>344</v>
      </c>
      <c r="H7" t="s">
        <v>1194</v>
      </c>
      <c r="I7">
        <v>5</v>
      </c>
      <c r="J7" t="s">
        <v>1173</v>
      </c>
      <c r="L7" t="s">
        <v>1195</v>
      </c>
    </row>
    <row r="8" spans="1:12" x14ac:dyDescent="0.3">
      <c r="A8">
        <v>7</v>
      </c>
      <c r="B8" t="s">
        <v>1145</v>
      </c>
      <c r="C8" t="s">
        <v>1146</v>
      </c>
      <c r="D8" t="s">
        <v>1182</v>
      </c>
      <c r="E8" t="s">
        <v>1183</v>
      </c>
      <c r="F8" t="s">
        <v>1156</v>
      </c>
      <c r="G8" t="s">
        <v>344</v>
      </c>
      <c r="H8" t="s">
        <v>1184</v>
      </c>
      <c r="I8">
        <v>5</v>
      </c>
      <c r="J8" t="s">
        <v>1173</v>
      </c>
      <c r="L8" t="s">
        <v>1185</v>
      </c>
    </row>
    <row r="9" spans="1:12" x14ac:dyDescent="0.3">
      <c r="A9">
        <v>8</v>
      </c>
      <c r="B9" t="s">
        <v>1145</v>
      </c>
      <c r="C9" t="s">
        <v>1146</v>
      </c>
      <c r="D9" t="s">
        <v>1196</v>
      </c>
      <c r="E9" t="s">
        <v>1197</v>
      </c>
      <c r="F9" t="s">
        <v>1156</v>
      </c>
      <c r="G9" t="s">
        <v>344</v>
      </c>
      <c r="H9" t="s">
        <v>1184</v>
      </c>
      <c r="I9">
        <v>5</v>
      </c>
      <c r="J9" t="s">
        <v>1173</v>
      </c>
    </row>
    <row r="10" spans="1:12" x14ac:dyDescent="0.3">
      <c r="A10">
        <v>9</v>
      </c>
      <c r="B10" t="s">
        <v>1145</v>
      </c>
      <c r="C10" t="s">
        <v>1146</v>
      </c>
      <c r="D10" t="s">
        <v>1186</v>
      </c>
      <c r="E10" t="s">
        <v>1187</v>
      </c>
      <c r="F10" t="s">
        <v>1156</v>
      </c>
      <c r="G10" t="s">
        <v>344</v>
      </c>
      <c r="H10" t="s">
        <v>1184</v>
      </c>
      <c r="I10">
        <v>5</v>
      </c>
      <c r="J10" t="s">
        <v>1173</v>
      </c>
    </row>
    <row r="11" spans="1:12" x14ac:dyDescent="0.3">
      <c r="A11">
        <v>10</v>
      </c>
      <c r="B11" t="s">
        <v>1145</v>
      </c>
      <c r="C11" t="s">
        <v>1146</v>
      </c>
      <c r="D11" t="s">
        <v>1190</v>
      </c>
      <c r="E11" t="s">
        <v>1191</v>
      </c>
      <c r="F11" t="s">
        <v>1156</v>
      </c>
      <c r="G11" t="s">
        <v>344</v>
      </c>
      <c r="H11" t="s">
        <v>1172</v>
      </c>
      <c r="I11">
        <v>5</v>
      </c>
      <c r="J11" t="s">
        <v>1173</v>
      </c>
    </row>
    <row r="12" spans="1:12" x14ac:dyDescent="0.3">
      <c r="A12">
        <v>11</v>
      </c>
      <c r="B12" t="s">
        <v>1145</v>
      </c>
      <c r="C12" t="s">
        <v>1146</v>
      </c>
      <c r="D12" t="s">
        <v>1188</v>
      </c>
      <c r="E12" t="s">
        <v>1189</v>
      </c>
      <c r="F12" t="s">
        <v>1156</v>
      </c>
      <c r="G12" t="s">
        <v>344</v>
      </c>
      <c r="H12" t="s">
        <v>1172</v>
      </c>
      <c r="I12">
        <v>5</v>
      </c>
      <c r="J12" t="s">
        <v>1173</v>
      </c>
    </row>
    <row r="13" spans="1:12" x14ac:dyDescent="0.3">
      <c r="A13">
        <v>12</v>
      </c>
      <c r="B13" t="s">
        <v>1145</v>
      </c>
      <c r="C13" t="s">
        <v>1146</v>
      </c>
      <c r="D13" t="s">
        <v>1154</v>
      </c>
      <c r="E13" t="s">
        <v>1155</v>
      </c>
      <c r="F13" t="s">
        <v>1156</v>
      </c>
      <c r="G13" t="s">
        <v>1043</v>
      </c>
      <c r="H13" t="s">
        <v>1157</v>
      </c>
      <c r="I13">
        <v>10</v>
      </c>
      <c r="J13" t="s">
        <v>1152</v>
      </c>
      <c r="L13" t="s">
        <v>1158</v>
      </c>
    </row>
    <row r="14" spans="1:12" x14ac:dyDescent="0.3">
      <c r="A14">
        <v>13</v>
      </c>
      <c r="B14" t="s">
        <v>1145</v>
      </c>
      <c r="C14" t="s">
        <v>1146</v>
      </c>
      <c r="D14" t="s">
        <v>1171</v>
      </c>
      <c r="E14" t="s">
        <v>884</v>
      </c>
      <c r="F14" t="s">
        <v>1156</v>
      </c>
      <c r="G14" t="s">
        <v>344</v>
      </c>
      <c r="H14" t="s">
        <v>1172</v>
      </c>
      <c r="I14">
        <v>5</v>
      </c>
      <c r="J14" t="s">
        <v>1173</v>
      </c>
      <c r="L14" t="s">
        <v>1174</v>
      </c>
    </row>
    <row r="15" spans="1:12" x14ac:dyDescent="0.3">
      <c r="A15">
        <v>14</v>
      </c>
      <c r="B15" t="s">
        <v>1145</v>
      </c>
      <c r="C15" t="s">
        <v>1146</v>
      </c>
      <c r="D15" t="s">
        <v>1147</v>
      </c>
      <c r="F15" t="s">
        <v>1149</v>
      </c>
      <c r="G15" t="s">
        <v>1150</v>
      </c>
      <c r="H15" t="s">
        <v>1151</v>
      </c>
      <c r="I15">
        <v>10</v>
      </c>
      <c r="J15" t="s">
        <v>1152</v>
      </c>
      <c r="L15" t="s">
        <v>1153</v>
      </c>
    </row>
    <row r="16" spans="1:12" x14ac:dyDescent="0.3">
      <c r="A16">
        <v>15</v>
      </c>
      <c r="B16" t="s">
        <v>1145</v>
      </c>
      <c r="C16" t="s">
        <v>1201</v>
      </c>
      <c r="D16" t="s">
        <v>1205</v>
      </c>
      <c r="F16" t="s">
        <v>1203</v>
      </c>
      <c r="G16" t="s">
        <v>1206</v>
      </c>
      <c r="H16" t="s">
        <v>1160</v>
      </c>
      <c r="I16">
        <v>5</v>
      </c>
      <c r="J16" t="s">
        <v>1152</v>
      </c>
      <c r="K16" t="s">
        <v>1207</v>
      </c>
    </row>
    <row r="17" spans="1:12" x14ac:dyDescent="0.3">
      <c r="A17">
        <v>16</v>
      </c>
      <c r="B17" t="s">
        <v>1145</v>
      </c>
      <c r="C17" t="s">
        <v>1201</v>
      </c>
      <c r="D17" t="s">
        <v>1202</v>
      </c>
      <c r="F17" t="s">
        <v>1203</v>
      </c>
      <c r="G17" t="s">
        <v>1204</v>
      </c>
      <c r="H17" t="s">
        <v>1160</v>
      </c>
      <c r="I17">
        <v>5</v>
      </c>
      <c r="J17" t="s">
        <v>1152</v>
      </c>
    </row>
    <row r="18" spans="1:12" x14ac:dyDescent="0.3">
      <c r="A18">
        <v>17</v>
      </c>
      <c r="B18" t="s">
        <v>1145</v>
      </c>
      <c r="C18" t="s">
        <v>1201</v>
      </c>
      <c r="D18" t="s">
        <v>1210</v>
      </c>
      <c r="F18" t="s">
        <v>1203</v>
      </c>
      <c r="G18" t="s">
        <v>1211</v>
      </c>
      <c r="H18" t="s">
        <v>1160</v>
      </c>
      <c r="I18">
        <v>5</v>
      </c>
      <c r="J18" t="s">
        <v>1152</v>
      </c>
    </row>
    <row r="19" spans="1:12" x14ac:dyDescent="0.3">
      <c r="A19">
        <v>18</v>
      </c>
      <c r="B19" t="s">
        <v>1145</v>
      </c>
      <c r="C19" t="s">
        <v>1201</v>
      </c>
      <c r="D19" t="s">
        <v>1208</v>
      </c>
      <c r="F19" t="s">
        <v>1203</v>
      </c>
      <c r="G19" t="s">
        <v>1209</v>
      </c>
      <c r="H19" t="s">
        <v>1160</v>
      </c>
      <c r="I19">
        <v>5</v>
      </c>
      <c r="J19" t="s">
        <v>1152</v>
      </c>
    </row>
    <row r="20" spans="1:12" x14ac:dyDescent="0.3">
      <c r="A20">
        <v>19</v>
      </c>
      <c r="B20" t="s">
        <v>1145</v>
      </c>
      <c r="C20" t="s">
        <v>1213</v>
      </c>
      <c r="D20" t="s">
        <v>1226</v>
      </c>
      <c r="F20" t="s">
        <v>1221</v>
      </c>
      <c r="G20" t="s">
        <v>1227</v>
      </c>
      <c r="H20" t="s">
        <v>1217</v>
      </c>
      <c r="I20">
        <v>10</v>
      </c>
      <c r="J20" t="s">
        <v>1152</v>
      </c>
      <c r="K20" t="s">
        <v>1228</v>
      </c>
      <c r="L20" t="s">
        <v>1229</v>
      </c>
    </row>
    <row r="21" spans="1:12" x14ac:dyDescent="0.3">
      <c r="A21">
        <v>20</v>
      </c>
      <c r="B21" t="s">
        <v>1145</v>
      </c>
      <c r="C21" t="s">
        <v>1213</v>
      </c>
      <c r="D21" t="s">
        <v>1214</v>
      </c>
      <c r="F21" t="s">
        <v>1215</v>
      </c>
      <c r="G21" t="s">
        <v>1216</v>
      </c>
      <c r="H21" t="s">
        <v>1217</v>
      </c>
      <c r="I21">
        <v>10</v>
      </c>
      <c r="J21" t="s">
        <v>1152</v>
      </c>
      <c r="K21" t="s">
        <v>1218</v>
      </c>
      <c r="L21" t="s">
        <v>1219</v>
      </c>
    </row>
    <row r="22" spans="1:12" x14ac:dyDescent="0.3">
      <c r="A22">
        <v>21</v>
      </c>
      <c r="B22" t="s">
        <v>1145</v>
      </c>
      <c r="C22" t="s">
        <v>1213</v>
      </c>
      <c r="D22" t="s">
        <v>1220</v>
      </c>
      <c r="F22" t="s">
        <v>1221</v>
      </c>
      <c r="G22" t="s">
        <v>1222</v>
      </c>
      <c r="H22" t="s">
        <v>1160</v>
      </c>
      <c r="I22">
        <v>10</v>
      </c>
      <c r="J22" t="s">
        <v>1152</v>
      </c>
      <c r="L22" t="s">
        <v>1223</v>
      </c>
    </row>
    <row r="23" spans="1:12" x14ac:dyDescent="0.3">
      <c r="A23">
        <v>22</v>
      </c>
      <c r="B23" t="s">
        <v>1145</v>
      </c>
      <c r="C23" t="s">
        <v>1213</v>
      </c>
      <c r="D23" t="s">
        <v>1224</v>
      </c>
      <c r="F23" t="s">
        <v>1221</v>
      </c>
      <c r="G23" t="s">
        <v>1222</v>
      </c>
      <c r="H23" t="s">
        <v>1151</v>
      </c>
      <c r="I23">
        <v>10</v>
      </c>
      <c r="J23" t="s">
        <v>1152</v>
      </c>
      <c r="L23" t="s">
        <v>1225</v>
      </c>
    </row>
    <row r="24" spans="1:12" x14ac:dyDescent="0.3">
      <c r="A24">
        <v>23</v>
      </c>
      <c r="B24" t="s">
        <v>1145</v>
      </c>
      <c r="C24" t="s">
        <v>1231</v>
      </c>
      <c r="D24" t="s">
        <v>1237</v>
      </c>
      <c r="F24" t="s">
        <v>1233</v>
      </c>
      <c r="G24" t="s">
        <v>887</v>
      </c>
      <c r="H24" t="s">
        <v>1235</v>
      </c>
      <c r="I24">
        <v>5</v>
      </c>
      <c r="J24" t="s">
        <v>1152</v>
      </c>
      <c r="K24" t="s">
        <v>1238</v>
      </c>
      <c r="L24" t="s">
        <v>1239</v>
      </c>
    </row>
    <row r="25" spans="1:12" x14ac:dyDescent="0.3">
      <c r="A25">
        <v>24</v>
      </c>
      <c r="B25" t="s">
        <v>1145</v>
      </c>
      <c r="C25" t="s">
        <v>1231</v>
      </c>
      <c r="D25" t="s">
        <v>1232</v>
      </c>
      <c r="F25" t="s">
        <v>1233</v>
      </c>
      <c r="G25" t="s">
        <v>1234</v>
      </c>
      <c r="H25" t="s">
        <v>1235</v>
      </c>
      <c r="I25">
        <v>5</v>
      </c>
      <c r="J25" t="s">
        <v>1152</v>
      </c>
    </row>
    <row r="26" spans="1:12" x14ac:dyDescent="0.3">
      <c r="A26">
        <v>25</v>
      </c>
      <c r="B26" t="s">
        <v>1145</v>
      </c>
      <c r="C26" t="s">
        <v>1231</v>
      </c>
      <c r="D26" t="s">
        <v>1242</v>
      </c>
      <c r="F26" t="s">
        <v>1233</v>
      </c>
      <c r="G26" t="s">
        <v>887</v>
      </c>
      <c r="H26" t="s">
        <v>1235</v>
      </c>
      <c r="I26">
        <v>5</v>
      </c>
      <c r="J26" t="s">
        <v>1152</v>
      </c>
    </row>
    <row r="27" spans="1:12" x14ac:dyDescent="0.3">
      <c r="A27">
        <v>26</v>
      </c>
      <c r="B27" t="s">
        <v>1145</v>
      </c>
      <c r="C27" t="s">
        <v>1231</v>
      </c>
      <c r="D27" t="s">
        <v>1241</v>
      </c>
      <c r="F27" t="s">
        <v>1203</v>
      </c>
      <c r="G27" t="s">
        <v>887</v>
      </c>
      <c r="H27" t="s">
        <v>1165</v>
      </c>
      <c r="I27">
        <v>5</v>
      </c>
      <c r="J27" t="s">
        <v>1152</v>
      </c>
    </row>
    <row r="28" spans="1:12" x14ac:dyDescent="0.3">
      <c r="A28">
        <v>27</v>
      </c>
      <c r="B28" t="s">
        <v>1145</v>
      </c>
      <c r="C28" t="s">
        <v>1231</v>
      </c>
      <c r="D28" t="s">
        <v>1240</v>
      </c>
      <c r="F28" t="s">
        <v>1203</v>
      </c>
      <c r="G28" t="s">
        <v>887</v>
      </c>
      <c r="H28" t="s">
        <v>1165</v>
      </c>
      <c r="I28">
        <v>5</v>
      </c>
      <c r="J28" t="s">
        <v>1152</v>
      </c>
    </row>
    <row r="29" spans="1:12" x14ac:dyDescent="0.3">
      <c r="A29">
        <v>28</v>
      </c>
      <c r="B29" t="s">
        <v>1145</v>
      </c>
      <c r="C29" t="s">
        <v>1245</v>
      </c>
      <c r="D29" t="s">
        <v>1255</v>
      </c>
      <c r="F29" t="s">
        <v>1253</v>
      </c>
      <c r="G29" t="s">
        <v>1250</v>
      </c>
      <c r="H29" t="s">
        <v>1151</v>
      </c>
      <c r="I29">
        <v>10</v>
      </c>
      <c r="J29" t="s">
        <v>1152</v>
      </c>
      <c r="L29" t="s">
        <v>1256</v>
      </c>
    </row>
    <row r="30" spans="1:12" x14ac:dyDescent="0.3">
      <c r="A30">
        <v>29</v>
      </c>
      <c r="B30" t="s">
        <v>1145</v>
      </c>
      <c r="C30" t="s">
        <v>1245</v>
      </c>
      <c r="D30" t="s">
        <v>1252</v>
      </c>
      <c r="F30" t="s">
        <v>1253</v>
      </c>
      <c r="G30" t="s">
        <v>1250</v>
      </c>
      <c r="H30" t="s">
        <v>1151</v>
      </c>
      <c r="I30">
        <v>10</v>
      </c>
      <c r="J30" t="s">
        <v>1152</v>
      </c>
      <c r="L30" t="s">
        <v>1254</v>
      </c>
    </row>
    <row r="31" spans="1:12" x14ac:dyDescent="0.3">
      <c r="A31">
        <v>30</v>
      </c>
      <c r="B31" t="s">
        <v>1145</v>
      </c>
      <c r="C31" t="s">
        <v>1245</v>
      </c>
      <c r="D31" t="s">
        <v>1246</v>
      </c>
      <c r="F31" t="s">
        <v>1221</v>
      </c>
      <c r="G31" t="s">
        <v>1247</v>
      </c>
      <c r="H31" t="s">
        <v>1151</v>
      </c>
      <c r="I31">
        <v>10</v>
      </c>
      <c r="J31" t="s">
        <v>1152</v>
      </c>
    </row>
    <row r="32" spans="1:12" x14ac:dyDescent="0.3">
      <c r="A32">
        <v>31</v>
      </c>
      <c r="B32" t="s">
        <v>1145</v>
      </c>
      <c r="C32" t="s">
        <v>1245</v>
      </c>
      <c r="D32" t="s">
        <v>1248</v>
      </c>
      <c r="F32" t="s">
        <v>1249</v>
      </c>
      <c r="H32" t="s">
        <v>1157</v>
      </c>
      <c r="I32">
        <v>10</v>
      </c>
      <c r="J32" t="s">
        <v>1152</v>
      </c>
      <c r="L32" t="s">
        <v>1251</v>
      </c>
    </row>
    <row r="33" spans="1:12" x14ac:dyDescent="0.3">
      <c r="A33">
        <v>32</v>
      </c>
      <c r="B33" t="s">
        <v>1145</v>
      </c>
      <c r="C33" t="s">
        <v>1258</v>
      </c>
      <c r="D33" t="s">
        <v>1269</v>
      </c>
      <c r="F33" t="s">
        <v>1270</v>
      </c>
      <c r="G33" t="s">
        <v>1043</v>
      </c>
      <c r="H33" t="s">
        <v>1151</v>
      </c>
      <c r="I33">
        <v>10</v>
      </c>
      <c r="J33" t="s">
        <v>1152</v>
      </c>
      <c r="L33" t="s">
        <v>1271</v>
      </c>
    </row>
    <row r="34" spans="1:12" x14ac:dyDescent="0.3">
      <c r="A34">
        <v>33</v>
      </c>
      <c r="B34" t="s">
        <v>1145</v>
      </c>
      <c r="C34" t="s">
        <v>1258</v>
      </c>
      <c r="D34" t="s">
        <v>1272</v>
      </c>
      <c r="F34" t="s">
        <v>1221</v>
      </c>
      <c r="G34" t="s">
        <v>887</v>
      </c>
      <c r="H34" t="s">
        <v>1151</v>
      </c>
      <c r="I34">
        <v>5</v>
      </c>
      <c r="J34" t="s">
        <v>1152</v>
      </c>
      <c r="L34" t="s">
        <v>1273</v>
      </c>
    </row>
    <row r="35" spans="1:12" x14ac:dyDescent="0.3">
      <c r="A35">
        <v>34</v>
      </c>
      <c r="B35" t="s">
        <v>1145</v>
      </c>
      <c r="C35" t="s">
        <v>1258</v>
      </c>
      <c r="D35" t="s">
        <v>1279</v>
      </c>
      <c r="F35" t="s">
        <v>1221</v>
      </c>
      <c r="G35" t="s">
        <v>1125</v>
      </c>
      <c r="H35" t="s">
        <v>1280</v>
      </c>
      <c r="I35">
        <v>10</v>
      </c>
      <c r="J35" t="s">
        <v>1281</v>
      </c>
      <c r="L35" t="s">
        <v>1282</v>
      </c>
    </row>
    <row r="36" spans="1:12" x14ac:dyDescent="0.3">
      <c r="A36">
        <v>35</v>
      </c>
      <c r="B36" t="s">
        <v>1145</v>
      </c>
      <c r="C36" t="s">
        <v>1258</v>
      </c>
      <c r="D36" t="s">
        <v>1265</v>
      </c>
      <c r="F36" t="s">
        <v>1266</v>
      </c>
      <c r="H36" t="s">
        <v>1151</v>
      </c>
      <c r="I36">
        <v>10</v>
      </c>
      <c r="J36" t="s">
        <v>1152</v>
      </c>
      <c r="L36" t="s">
        <v>1268</v>
      </c>
    </row>
    <row r="37" spans="1:12" x14ac:dyDescent="0.3">
      <c r="A37">
        <v>36</v>
      </c>
      <c r="B37" t="s">
        <v>1145</v>
      </c>
      <c r="C37" t="s">
        <v>1258</v>
      </c>
      <c r="D37" t="s">
        <v>1263</v>
      </c>
      <c r="F37" t="s">
        <v>1221</v>
      </c>
      <c r="G37" t="s">
        <v>1043</v>
      </c>
      <c r="H37" t="s">
        <v>1151</v>
      </c>
      <c r="I37">
        <v>5</v>
      </c>
      <c r="J37" t="s">
        <v>1152</v>
      </c>
    </row>
    <row r="38" spans="1:12" x14ac:dyDescent="0.3">
      <c r="A38">
        <v>37</v>
      </c>
      <c r="B38" t="s">
        <v>1284</v>
      </c>
      <c r="C38" t="s">
        <v>1285</v>
      </c>
      <c r="D38" t="s">
        <v>1286</v>
      </c>
      <c r="F38" t="s">
        <v>1285</v>
      </c>
      <c r="H38" t="s">
        <v>1287</v>
      </c>
      <c r="I38">
        <v>5</v>
      </c>
      <c r="J38" t="s">
        <v>1152</v>
      </c>
      <c r="K38" t="s">
        <v>1288</v>
      </c>
      <c r="L38" t="s">
        <v>1289</v>
      </c>
    </row>
    <row r="39" spans="1:12" x14ac:dyDescent="0.3">
      <c r="A39">
        <v>38</v>
      </c>
      <c r="B39" t="s">
        <v>1284</v>
      </c>
      <c r="C39" t="s">
        <v>1285</v>
      </c>
      <c r="D39" t="s">
        <v>1290</v>
      </c>
      <c r="F39" t="s">
        <v>1285</v>
      </c>
      <c r="H39" t="s">
        <v>1291</v>
      </c>
      <c r="I39">
        <v>5</v>
      </c>
      <c r="J39" t="s">
        <v>1152</v>
      </c>
      <c r="K39" t="s">
        <v>1292</v>
      </c>
    </row>
    <row r="40" spans="1:12" x14ac:dyDescent="0.3">
      <c r="A40">
        <v>39</v>
      </c>
      <c r="B40" t="s">
        <v>1284</v>
      </c>
      <c r="C40" t="s">
        <v>1285</v>
      </c>
      <c r="D40" t="s">
        <v>1293</v>
      </c>
      <c r="F40" t="s">
        <v>1285</v>
      </c>
      <c r="H40" t="s">
        <v>1291</v>
      </c>
      <c r="I40">
        <v>5</v>
      </c>
      <c r="J40" t="s">
        <v>1152</v>
      </c>
    </row>
    <row r="41" spans="1:12" x14ac:dyDescent="0.3">
      <c r="A41">
        <v>40</v>
      </c>
      <c r="B41" t="s">
        <v>1284</v>
      </c>
      <c r="C41" t="s">
        <v>1285</v>
      </c>
      <c r="D41" t="s">
        <v>1214</v>
      </c>
      <c r="F41" t="s">
        <v>1298</v>
      </c>
      <c r="H41" t="s">
        <v>1217</v>
      </c>
      <c r="I41">
        <v>10</v>
      </c>
      <c r="J41" t="s">
        <v>1152</v>
      </c>
      <c r="K41" t="s">
        <v>1218</v>
      </c>
      <c r="L41" t="s">
        <v>1300</v>
      </c>
    </row>
    <row r="42" spans="1:12" x14ac:dyDescent="0.3">
      <c r="A42">
        <v>41</v>
      </c>
      <c r="B42" t="s">
        <v>1284</v>
      </c>
      <c r="C42" t="s">
        <v>1285</v>
      </c>
      <c r="D42" t="s">
        <v>1301</v>
      </c>
      <c r="F42" t="s">
        <v>1285</v>
      </c>
      <c r="H42" t="s">
        <v>1287</v>
      </c>
      <c r="I42">
        <v>5</v>
      </c>
      <c r="J42" t="s">
        <v>1152</v>
      </c>
      <c r="K42" t="s">
        <v>1302</v>
      </c>
      <c r="L42" t="s">
        <v>1303</v>
      </c>
    </row>
    <row r="43" spans="1:12" x14ac:dyDescent="0.3">
      <c r="A43">
        <v>42</v>
      </c>
      <c r="B43" t="s">
        <v>1284</v>
      </c>
      <c r="C43" t="s">
        <v>1285</v>
      </c>
      <c r="D43" t="s">
        <v>1220</v>
      </c>
      <c r="F43" t="s">
        <v>1298</v>
      </c>
      <c r="H43" t="s">
        <v>1160</v>
      </c>
      <c r="I43">
        <v>10</v>
      </c>
      <c r="J43" t="s">
        <v>1152</v>
      </c>
    </row>
    <row r="44" spans="1:12" x14ac:dyDescent="0.3">
      <c r="A44">
        <v>43</v>
      </c>
      <c r="B44" t="s">
        <v>1284</v>
      </c>
      <c r="C44" t="s">
        <v>1285</v>
      </c>
      <c r="D44" t="s">
        <v>1308</v>
      </c>
      <c r="F44" t="s">
        <v>1285</v>
      </c>
      <c r="H44" t="s">
        <v>1291</v>
      </c>
      <c r="I44">
        <v>5</v>
      </c>
      <c r="J44" t="s">
        <v>1152</v>
      </c>
    </row>
    <row r="45" spans="1:12" x14ac:dyDescent="0.3">
      <c r="A45">
        <v>44</v>
      </c>
      <c r="B45" t="s">
        <v>1284</v>
      </c>
      <c r="C45" t="s">
        <v>1285</v>
      </c>
      <c r="D45" t="s">
        <v>1309</v>
      </c>
      <c r="F45" t="s">
        <v>1285</v>
      </c>
      <c r="H45" t="s">
        <v>1291</v>
      </c>
      <c r="I45">
        <v>5</v>
      </c>
      <c r="J45" t="s">
        <v>1152</v>
      </c>
    </row>
    <row r="46" spans="1:12" x14ac:dyDescent="0.3">
      <c r="A46">
        <v>45</v>
      </c>
      <c r="B46" t="s">
        <v>1284</v>
      </c>
      <c r="C46" t="s">
        <v>1285</v>
      </c>
      <c r="D46" t="s">
        <v>1310</v>
      </c>
      <c r="F46" t="s">
        <v>1285</v>
      </c>
      <c r="H46" t="s">
        <v>1291</v>
      </c>
      <c r="I46">
        <v>5</v>
      </c>
      <c r="J46" t="s">
        <v>1152</v>
      </c>
    </row>
    <row r="47" spans="1:12" x14ac:dyDescent="0.3">
      <c r="A47">
        <v>46</v>
      </c>
      <c r="B47" t="s">
        <v>1284</v>
      </c>
      <c r="C47" t="s">
        <v>1285</v>
      </c>
      <c r="D47" t="s">
        <v>1226</v>
      </c>
      <c r="F47" t="s">
        <v>1298</v>
      </c>
      <c r="H47" t="s">
        <v>1217</v>
      </c>
      <c r="I47">
        <v>10</v>
      </c>
      <c r="J47" t="s">
        <v>1152</v>
      </c>
      <c r="K47" t="s">
        <v>1228</v>
      </c>
    </row>
    <row r="48" spans="1:12" x14ac:dyDescent="0.3">
      <c r="A48">
        <v>47</v>
      </c>
      <c r="B48" t="s">
        <v>1284</v>
      </c>
      <c r="C48" t="s">
        <v>1285</v>
      </c>
      <c r="D48" t="s">
        <v>1314</v>
      </c>
      <c r="F48" t="s">
        <v>1285</v>
      </c>
      <c r="H48" t="s">
        <v>1291</v>
      </c>
      <c r="I48">
        <v>5</v>
      </c>
      <c r="J48" t="s">
        <v>1152</v>
      </c>
    </row>
    <row r="49" spans="1:12" x14ac:dyDescent="0.3">
      <c r="A49">
        <v>48</v>
      </c>
      <c r="B49" t="s">
        <v>1284</v>
      </c>
      <c r="C49" t="s">
        <v>1285</v>
      </c>
      <c r="D49" t="s">
        <v>6</v>
      </c>
      <c r="F49" t="s">
        <v>1285</v>
      </c>
      <c r="H49" t="s">
        <v>1287</v>
      </c>
      <c r="I49">
        <v>10</v>
      </c>
      <c r="J49" t="s">
        <v>1152</v>
      </c>
      <c r="K49" t="s">
        <v>1304</v>
      </c>
      <c r="L49" t="s">
        <v>1305</v>
      </c>
    </row>
    <row r="50" spans="1:12" x14ac:dyDescent="0.3">
      <c r="A50">
        <v>49</v>
      </c>
      <c r="B50" t="s">
        <v>1284</v>
      </c>
      <c r="C50" t="s">
        <v>1285</v>
      </c>
      <c r="D50" t="s">
        <v>1311</v>
      </c>
      <c r="F50" t="s">
        <v>1285</v>
      </c>
      <c r="H50" t="s">
        <v>1295</v>
      </c>
      <c r="I50">
        <v>5</v>
      </c>
      <c r="J50" t="s">
        <v>1296</v>
      </c>
      <c r="K50" t="s">
        <v>1312</v>
      </c>
      <c r="L50" t="s">
        <v>1313</v>
      </c>
    </row>
    <row r="51" spans="1:12" x14ac:dyDescent="0.3">
      <c r="A51">
        <v>50</v>
      </c>
      <c r="B51" t="s">
        <v>1284</v>
      </c>
      <c r="C51" t="s">
        <v>1285</v>
      </c>
      <c r="D51" t="s">
        <v>1294</v>
      </c>
      <c r="F51" t="s">
        <v>1285</v>
      </c>
      <c r="H51" t="s">
        <v>1295</v>
      </c>
      <c r="I51">
        <v>5</v>
      </c>
      <c r="J51" t="s">
        <v>1296</v>
      </c>
      <c r="K51" t="s">
        <v>1297</v>
      </c>
    </row>
    <row r="52" spans="1:12" x14ac:dyDescent="0.3">
      <c r="A52">
        <v>51</v>
      </c>
      <c r="B52" t="s">
        <v>1284</v>
      </c>
      <c r="C52" t="s">
        <v>1316</v>
      </c>
      <c r="D52" t="s">
        <v>1237</v>
      </c>
      <c r="F52" t="s">
        <v>1316</v>
      </c>
      <c r="H52" t="s">
        <v>1172</v>
      </c>
      <c r="I52">
        <v>5</v>
      </c>
      <c r="J52" t="s">
        <v>1318</v>
      </c>
      <c r="K52" t="s">
        <v>1238</v>
      </c>
      <c r="L52" t="s">
        <v>1324</v>
      </c>
    </row>
    <row r="53" spans="1:12" x14ac:dyDescent="0.3">
      <c r="A53">
        <v>52</v>
      </c>
      <c r="B53" t="s">
        <v>1284</v>
      </c>
      <c r="C53" t="s">
        <v>1316</v>
      </c>
      <c r="D53" t="s">
        <v>1232</v>
      </c>
      <c r="F53" t="s">
        <v>1316</v>
      </c>
      <c r="H53" t="s">
        <v>1172</v>
      </c>
      <c r="I53">
        <v>5</v>
      </c>
      <c r="J53" t="s">
        <v>1318</v>
      </c>
    </row>
    <row r="54" spans="1:12" x14ac:dyDescent="0.3">
      <c r="A54">
        <v>53</v>
      </c>
      <c r="B54" t="s">
        <v>1284</v>
      </c>
      <c r="C54" t="s">
        <v>1316</v>
      </c>
      <c r="D54" t="s">
        <v>1202</v>
      </c>
      <c r="F54" t="s">
        <v>1316</v>
      </c>
      <c r="H54" t="s">
        <v>1172</v>
      </c>
      <c r="I54">
        <v>5</v>
      </c>
      <c r="J54" t="s">
        <v>1318</v>
      </c>
    </row>
    <row r="55" spans="1:12" x14ac:dyDescent="0.3">
      <c r="A55">
        <v>54</v>
      </c>
      <c r="B55" t="s">
        <v>1284</v>
      </c>
      <c r="C55" t="s">
        <v>1316</v>
      </c>
      <c r="D55" t="s">
        <v>1242</v>
      </c>
      <c r="F55" t="s">
        <v>1316</v>
      </c>
      <c r="H55" t="s">
        <v>1172</v>
      </c>
      <c r="I55">
        <v>5</v>
      </c>
      <c r="J55" t="s">
        <v>1318</v>
      </c>
    </row>
    <row r="56" spans="1:12" x14ac:dyDescent="0.3">
      <c r="A56">
        <v>55</v>
      </c>
      <c r="B56" t="s">
        <v>1284</v>
      </c>
      <c r="C56" t="s">
        <v>1316</v>
      </c>
      <c r="D56" t="s">
        <v>1210</v>
      </c>
      <c r="F56" t="s">
        <v>1316</v>
      </c>
      <c r="H56" t="s">
        <v>1172</v>
      </c>
      <c r="I56">
        <v>5</v>
      </c>
      <c r="J56" t="s">
        <v>1318</v>
      </c>
    </row>
    <row r="57" spans="1:12" x14ac:dyDescent="0.3">
      <c r="A57">
        <v>56</v>
      </c>
      <c r="B57" t="s">
        <v>1284</v>
      </c>
      <c r="C57" t="s">
        <v>1316</v>
      </c>
      <c r="D57" t="s">
        <v>1319</v>
      </c>
      <c r="F57" t="s">
        <v>1316</v>
      </c>
      <c r="H57" t="s">
        <v>1320</v>
      </c>
      <c r="I57">
        <v>5</v>
      </c>
      <c r="J57" t="s">
        <v>1318</v>
      </c>
      <c r="K57" t="s">
        <v>1321</v>
      </c>
      <c r="L57" t="s">
        <v>1322</v>
      </c>
    </row>
    <row r="58" spans="1:12" x14ac:dyDescent="0.3">
      <c r="A58">
        <v>57</v>
      </c>
      <c r="B58" t="s">
        <v>1284</v>
      </c>
      <c r="C58" t="s">
        <v>1338</v>
      </c>
      <c r="D58" t="s">
        <v>1248</v>
      </c>
      <c r="F58" t="s">
        <v>1338</v>
      </c>
      <c r="H58" t="s">
        <v>1157</v>
      </c>
      <c r="I58">
        <v>10</v>
      </c>
      <c r="J58" t="s">
        <v>1327</v>
      </c>
      <c r="L58" t="s">
        <v>1339</v>
      </c>
    </row>
    <row r="59" spans="1:12" x14ac:dyDescent="0.3">
      <c r="A59">
        <v>58</v>
      </c>
      <c r="B59" t="s">
        <v>1284</v>
      </c>
      <c r="C59" t="s">
        <v>1338</v>
      </c>
      <c r="D59" t="s">
        <v>1245</v>
      </c>
      <c r="F59" t="s">
        <v>1338</v>
      </c>
      <c r="H59" t="s">
        <v>1157</v>
      </c>
      <c r="I59">
        <v>10</v>
      </c>
      <c r="J59" t="s">
        <v>1327</v>
      </c>
    </row>
    <row r="60" spans="1:12" x14ac:dyDescent="0.3">
      <c r="A60">
        <v>59</v>
      </c>
      <c r="B60" t="s">
        <v>1284</v>
      </c>
      <c r="C60" t="s">
        <v>1338</v>
      </c>
      <c r="D60" t="s">
        <v>1341</v>
      </c>
      <c r="F60" t="s">
        <v>1338</v>
      </c>
      <c r="H60" t="s">
        <v>1157</v>
      </c>
      <c r="I60">
        <v>10</v>
      </c>
      <c r="J60" t="s">
        <v>1327</v>
      </c>
    </row>
    <row r="61" spans="1:12" x14ac:dyDescent="0.3">
      <c r="A61">
        <v>60</v>
      </c>
      <c r="B61" t="s">
        <v>1284</v>
      </c>
      <c r="C61" t="s">
        <v>1338</v>
      </c>
      <c r="D61" t="s">
        <v>1342</v>
      </c>
      <c r="F61" t="s">
        <v>1338</v>
      </c>
      <c r="H61" t="s">
        <v>1157</v>
      </c>
      <c r="I61">
        <v>10</v>
      </c>
      <c r="J61" t="s">
        <v>1327</v>
      </c>
    </row>
    <row r="62" spans="1:12" x14ac:dyDescent="0.3">
      <c r="A62">
        <v>61</v>
      </c>
      <c r="B62" t="s">
        <v>1284</v>
      </c>
      <c r="C62" t="s">
        <v>1338</v>
      </c>
      <c r="D62" t="s">
        <v>1340</v>
      </c>
      <c r="F62" t="s">
        <v>1338</v>
      </c>
      <c r="H62" t="s">
        <v>1157</v>
      </c>
      <c r="I62">
        <v>10</v>
      </c>
      <c r="J62" t="s">
        <v>1327</v>
      </c>
    </row>
    <row r="63" spans="1:12" x14ac:dyDescent="0.3">
      <c r="A63">
        <v>62</v>
      </c>
      <c r="B63" t="s">
        <v>1284</v>
      </c>
      <c r="C63" t="s">
        <v>1344</v>
      </c>
      <c r="D63" t="s">
        <v>1248</v>
      </c>
      <c r="F63" t="s">
        <v>1344</v>
      </c>
      <c r="H63" t="s">
        <v>1157</v>
      </c>
      <c r="I63">
        <v>10</v>
      </c>
      <c r="J63" t="s">
        <v>1327</v>
      </c>
      <c r="L63" t="s">
        <v>1345</v>
      </c>
    </row>
    <row r="64" spans="1:12" x14ac:dyDescent="0.3">
      <c r="A64">
        <v>63</v>
      </c>
      <c r="B64" t="s">
        <v>1284</v>
      </c>
      <c r="C64" t="s">
        <v>1344</v>
      </c>
      <c r="D64" t="s">
        <v>1346</v>
      </c>
      <c r="F64" t="s">
        <v>1344</v>
      </c>
      <c r="H64" t="s">
        <v>1157</v>
      </c>
      <c r="I64">
        <v>10</v>
      </c>
      <c r="J64" t="s">
        <v>1327</v>
      </c>
    </row>
    <row r="65" spans="1:12" x14ac:dyDescent="0.3">
      <c r="A65">
        <v>64</v>
      </c>
      <c r="B65" t="s">
        <v>1284</v>
      </c>
      <c r="C65" t="s">
        <v>1344</v>
      </c>
      <c r="D65" t="s">
        <v>1348</v>
      </c>
      <c r="F65" t="s">
        <v>1344</v>
      </c>
      <c r="H65" t="s">
        <v>1157</v>
      </c>
      <c r="I65">
        <v>5</v>
      </c>
      <c r="J65" t="s">
        <v>1327</v>
      </c>
    </row>
    <row r="66" spans="1:12" x14ac:dyDescent="0.3">
      <c r="A66">
        <v>65</v>
      </c>
      <c r="B66" t="s">
        <v>1284</v>
      </c>
      <c r="C66" t="s">
        <v>1344</v>
      </c>
      <c r="D66" t="s">
        <v>1245</v>
      </c>
      <c r="F66" t="s">
        <v>1344</v>
      </c>
      <c r="H66" t="s">
        <v>1157</v>
      </c>
      <c r="I66">
        <v>10</v>
      </c>
      <c r="J66" t="s">
        <v>1327</v>
      </c>
    </row>
    <row r="67" spans="1:12" x14ac:dyDescent="0.3">
      <c r="A67">
        <v>66</v>
      </c>
      <c r="B67" t="s">
        <v>1284</v>
      </c>
      <c r="C67" t="s">
        <v>1344</v>
      </c>
      <c r="D67" t="s">
        <v>1347</v>
      </c>
      <c r="F67" t="s">
        <v>1344</v>
      </c>
      <c r="H67" t="s">
        <v>1157</v>
      </c>
      <c r="I67">
        <v>5</v>
      </c>
      <c r="J67" t="s">
        <v>1327</v>
      </c>
    </row>
    <row r="68" spans="1:12" x14ac:dyDescent="0.3">
      <c r="A68">
        <v>67</v>
      </c>
      <c r="B68" t="s">
        <v>1284</v>
      </c>
      <c r="C68" t="s">
        <v>1355</v>
      </c>
      <c r="D68" t="s">
        <v>1364</v>
      </c>
      <c r="F68" t="s">
        <v>1365</v>
      </c>
      <c r="H68" t="s">
        <v>1157</v>
      </c>
      <c r="I68">
        <v>5</v>
      </c>
      <c r="J68" t="s">
        <v>1357</v>
      </c>
      <c r="L68" t="s">
        <v>1366</v>
      </c>
    </row>
    <row r="69" spans="1:12" x14ac:dyDescent="0.3">
      <c r="A69">
        <v>68</v>
      </c>
      <c r="B69" t="s">
        <v>1284</v>
      </c>
      <c r="C69" t="s">
        <v>1355</v>
      </c>
      <c r="D69" t="s">
        <v>1360</v>
      </c>
      <c r="F69" t="s">
        <v>1355</v>
      </c>
      <c r="H69" t="s">
        <v>1157</v>
      </c>
      <c r="I69">
        <v>5</v>
      </c>
      <c r="J69" t="s">
        <v>1357</v>
      </c>
    </row>
    <row r="70" spans="1:12" x14ac:dyDescent="0.3">
      <c r="A70">
        <v>69</v>
      </c>
      <c r="B70" t="s">
        <v>1284</v>
      </c>
      <c r="C70" t="s">
        <v>1355</v>
      </c>
      <c r="D70" t="s">
        <v>1356</v>
      </c>
      <c r="F70" t="s">
        <v>1355</v>
      </c>
      <c r="H70" t="s">
        <v>1157</v>
      </c>
      <c r="I70">
        <v>5</v>
      </c>
      <c r="J70" t="s">
        <v>1357</v>
      </c>
    </row>
    <row r="71" spans="1:12" x14ac:dyDescent="0.3">
      <c r="A71">
        <v>70</v>
      </c>
      <c r="B71" t="s">
        <v>1284</v>
      </c>
      <c r="C71" t="s">
        <v>1355</v>
      </c>
      <c r="D71" t="s">
        <v>1362</v>
      </c>
      <c r="F71" t="s">
        <v>1359</v>
      </c>
      <c r="H71" t="s">
        <v>1157</v>
      </c>
      <c r="I71">
        <v>5</v>
      </c>
      <c r="J71" t="s">
        <v>1357</v>
      </c>
    </row>
    <row r="72" spans="1:12" x14ac:dyDescent="0.3">
      <c r="A72">
        <v>71</v>
      </c>
      <c r="B72" t="s">
        <v>1284</v>
      </c>
      <c r="C72" t="s">
        <v>1355</v>
      </c>
      <c r="D72" t="s">
        <v>1361</v>
      </c>
      <c r="F72" t="s">
        <v>1359</v>
      </c>
      <c r="H72" t="s">
        <v>1157</v>
      </c>
      <c r="I72">
        <v>5</v>
      </c>
      <c r="J72" t="s">
        <v>1357</v>
      </c>
    </row>
    <row r="73" spans="1:12" x14ac:dyDescent="0.3">
      <c r="A73">
        <v>72</v>
      </c>
      <c r="B73" t="s">
        <v>1284</v>
      </c>
      <c r="C73" t="s">
        <v>1355</v>
      </c>
      <c r="D73" t="s">
        <v>1363</v>
      </c>
      <c r="F73" t="s">
        <v>1355</v>
      </c>
      <c r="H73" t="s">
        <v>1157</v>
      </c>
      <c r="I73">
        <v>5</v>
      </c>
      <c r="J73" t="s">
        <v>1357</v>
      </c>
    </row>
    <row r="74" spans="1:12" x14ac:dyDescent="0.3">
      <c r="A74">
        <v>73</v>
      </c>
      <c r="B74" t="s">
        <v>1284</v>
      </c>
      <c r="C74" t="s">
        <v>1355</v>
      </c>
      <c r="D74" t="s">
        <v>1358</v>
      </c>
      <c r="F74" t="s">
        <v>1359</v>
      </c>
      <c r="H74" t="s">
        <v>1157</v>
      </c>
      <c r="I74">
        <v>10</v>
      </c>
      <c r="J74" t="s">
        <v>1357</v>
      </c>
    </row>
    <row r="75" spans="1:12" x14ac:dyDescent="0.3">
      <c r="A75">
        <v>74</v>
      </c>
      <c r="B75" t="s">
        <v>1284</v>
      </c>
      <c r="C75" t="s">
        <v>1378</v>
      </c>
      <c r="D75" t="s">
        <v>1329</v>
      </c>
      <c r="F75" t="s">
        <v>1383</v>
      </c>
      <c r="H75" t="s">
        <v>1151</v>
      </c>
      <c r="I75">
        <v>10</v>
      </c>
      <c r="J75" t="s">
        <v>1327</v>
      </c>
      <c r="K75" t="s">
        <v>1384</v>
      </c>
      <c r="L75" t="s">
        <v>1393</v>
      </c>
    </row>
    <row r="76" spans="1:12" x14ac:dyDescent="0.3">
      <c r="A76">
        <v>75</v>
      </c>
      <c r="B76" t="s">
        <v>1284</v>
      </c>
      <c r="C76" t="s">
        <v>1378</v>
      </c>
      <c r="D76" t="s">
        <v>1389</v>
      </c>
      <c r="F76" t="s">
        <v>1390</v>
      </c>
      <c r="H76" t="s">
        <v>1151</v>
      </c>
      <c r="I76">
        <v>10</v>
      </c>
      <c r="J76" t="s">
        <v>1327</v>
      </c>
      <c r="K76" t="s">
        <v>1384</v>
      </c>
    </row>
    <row r="77" spans="1:12" x14ac:dyDescent="0.3">
      <c r="A77">
        <v>76</v>
      </c>
      <c r="B77" t="s">
        <v>1284</v>
      </c>
      <c r="C77" t="s">
        <v>1378</v>
      </c>
      <c r="D77" t="s">
        <v>1391</v>
      </c>
      <c r="F77" t="s">
        <v>1392</v>
      </c>
      <c r="H77" t="s">
        <v>1151</v>
      </c>
      <c r="I77">
        <v>10</v>
      </c>
      <c r="J77" t="s">
        <v>1327</v>
      </c>
      <c r="K77" t="s">
        <v>1384</v>
      </c>
    </row>
    <row r="78" spans="1:12" x14ac:dyDescent="0.3">
      <c r="A78">
        <v>77</v>
      </c>
      <c r="B78" t="s">
        <v>1284</v>
      </c>
      <c r="C78" t="s">
        <v>1378</v>
      </c>
      <c r="D78" t="s">
        <v>1382</v>
      </c>
      <c r="F78" t="s">
        <v>1383</v>
      </c>
      <c r="H78" t="s">
        <v>1157</v>
      </c>
      <c r="I78">
        <v>10</v>
      </c>
      <c r="J78" t="s">
        <v>1327</v>
      </c>
      <c r="K78" t="s">
        <v>1384</v>
      </c>
    </row>
    <row r="79" spans="1:12" x14ac:dyDescent="0.3">
      <c r="A79">
        <v>78</v>
      </c>
      <c r="B79" t="s">
        <v>1284</v>
      </c>
      <c r="C79" t="s">
        <v>1378</v>
      </c>
      <c r="D79" t="s">
        <v>1340</v>
      </c>
      <c r="F79" t="s">
        <v>1380</v>
      </c>
      <c r="H79" t="s">
        <v>1157</v>
      </c>
      <c r="I79">
        <v>10</v>
      </c>
      <c r="J79" t="s">
        <v>1327</v>
      </c>
      <c r="K79" t="s">
        <v>1384</v>
      </c>
    </row>
    <row r="80" spans="1:12" x14ac:dyDescent="0.3">
      <c r="A80">
        <v>79</v>
      </c>
      <c r="B80" t="s">
        <v>1284</v>
      </c>
      <c r="C80" t="s">
        <v>1378</v>
      </c>
      <c r="D80" t="s">
        <v>1358</v>
      </c>
      <c r="F80" t="s">
        <v>1385</v>
      </c>
      <c r="H80" t="s">
        <v>1157</v>
      </c>
      <c r="I80">
        <v>10</v>
      </c>
      <c r="J80" t="s">
        <v>1327</v>
      </c>
      <c r="K80" t="s">
        <v>1384</v>
      </c>
    </row>
    <row r="81" spans="1:12" x14ac:dyDescent="0.3">
      <c r="A81">
        <v>80</v>
      </c>
      <c r="B81" t="s">
        <v>1284</v>
      </c>
      <c r="C81" t="s">
        <v>1378</v>
      </c>
      <c r="D81" t="s">
        <v>1386</v>
      </c>
      <c r="F81" t="s">
        <v>1385</v>
      </c>
      <c r="H81" t="s">
        <v>1157</v>
      </c>
      <c r="I81">
        <v>10</v>
      </c>
      <c r="J81" t="s">
        <v>1327</v>
      </c>
      <c r="K81" t="s">
        <v>1384</v>
      </c>
    </row>
    <row r="82" spans="1:12" x14ac:dyDescent="0.3">
      <c r="A82">
        <v>81</v>
      </c>
      <c r="B82" t="s">
        <v>1284</v>
      </c>
      <c r="C82" t="s">
        <v>1378</v>
      </c>
      <c r="D82" t="s">
        <v>1387</v>
      </c>
      <c r="F82" t="s">
        <v>1388</v>
      </c>
      <c r="H82" t="s">
        <v>1151</v>
      </c>
      <c r="I82">
        <v>10</v>
      </c>
      <c r="J82" t="s">
        <v>1327</v>
      </c>
      <c r="K82" t="s">
        <v>1384</v>
      </c>
    </row>
    <row r="83" spans="1:12" x14ac:dyDescent="0.3">
      <c r="A83">
        <v>82</v>
      </c>
      <c r="B83" t="s">
        <v>1284</v>
      </c>
      <c r="C83" t="s">
        <v>1378</v>
      </c>
      <c r="D83" t="s">
        <v>1394</v>
      </c>
      <c r="F83" t="s">
        <v>1390</v>
      </c>
      <c r="H83" t="s">
        <v>1151</v>
      </c>
      <c r="I83">
        <v>10</v>
      </c>
      <c r="J83" t="s">
        <v>1327</v>
      </c>
      <c r="K83" t="s">
        <v>1384</v>
      </c>
      <c r="L83" t="s">
        <v>1395</v>
      </c>
    </row>
    <row r="84" spans="1:12" x14ac:dyDescent="0.3">
      <c r="A84">
        <v>83</v>
      </c>
      <c r="B84" t="s">
        <v>1284</v>
      </c>
      <c r="C84" t="s">
        <v>1401</v>
      </c>
      <c r="D84" t="s">
        <v>1362</v>
      </c>
      <c r="F84" t="s">
        <v>1402</v>
      </c>
      <c r="H84" t="s">
        <v>1157</v>
      </c>
      <c r="I84">
        <v>20</v>
      </c>
      <c r="J84" t="s">
        <v>1318</v>
      </c>
      <c r="K84" t="s">
        <v>1403</v>
      </c>
      <c r="L84" t="s">
        <v>1406</v>
      </c>
    </row>
    <row r="85" spans="1:12" x14ac:dyDescent="0.3">
      <c r="A85">
        <v>84</v>
      </c>
      <c r="B85" t="s">
        <v>1284</v>
      </c>
      <c r="C85" t="s">
        <v>1401</v>
      </c>
      <c r="D85" t="s">
        <v>1361</v>
      </c>
      <c r="F85" t="s">
        <v>1402</v>
      </c>
      <c r="H85" t="s">
        <v>1157</v>
      </c>
      <c r="I85">
        <v>20</v>
      </c>
      <c r="J85" t="s">
        <v>1318</v>
      </c>
      <c r="K85" t="s">
        <v>1403</v>
      </c>
    </row>
    <row r="86" spans="1:12" x14ac:dyDescent="0.3">
      <c r="A86">
        <v>85</v>
      </c>
      <c r="B86" t="s">
        <v>1284</v>
      </c>
      <c r="C86" t="s">
        <v>1401</v>
      </c>
      <c r="D86" t="s">
        <v>1358</v>
      </c>
      <c r="F86" t="s">
        <v>1402</v>
      </c>
      <c r="H86" t="s">
        <v>1157</v>
      </c>
      <c r="I86">
        <v>20</v>
      </c>
      <c r="J86" t="s">
        <v>1318</v>
      </c>
      <c r="K86" t="s">
        <v>1403</v>
      </c>
    </row>
    <row r="87" spans="1:12" x14ac:dyDescent="0.3">
      <c r="A87">
        <v>86</v>
      </c>
      <c r="B87" t="s">
        <v>1284</v>
      </c>
      <c r="C87" t="s">
        <v>1401</v>
      </c>
      <c r="D87" t="s">
        <v>1404</v>
      </c>
      <c r="F87" t="s">
        <v>1402</v>
      </c>
      <c r="H87" t="s">
        <v>1160</v>
      </c>
      <c r="I87">
        <v>20</v>
      </c>
      <c r="J87" t="s">
        <v>1318</v>
      </c>
      <c r="K87" t="s">
        <v>1403</v>
      </c>
      <c r="L87" t="s">
        <v>1405</v>
      </c>
    </row>
    <row r="88" spans="1:12" x14ac:dyDescent="0.3">
      <c r="A88">
        <v>87</v>
      </c>
      <c r="B88" t="s">
        <v>1284</v>
      </c>
      <c r="C88" t="s">
        <v>1401</v>
      </c>
      <c r="D88" t="s">
        <v>1340</v>
      </c>
      <c r="F88" t="s">
        <v>1402</v>
      </c>
      <c r="H88" t="s">
        <v>1157</v>
      </c>
      <c r="I88">
        <v>20</v>
      </c>
      <c r="J88" t="s">
        <v>1318</v>
      </c>
      <c r="K88" t="s">
        <v>1403</v>
      </c>
    </row>
    <row r="89" spans="1:12" x14ac:dyDescent="0.3">
      <c r="A89">
        <v>88</v>
      </c>
      <c r="B89" t="s">
        <v>1284</v>
      </c>
      <c r="C89" t="s">
        <v>1401</v>
      </c>
      <c r="D89" t="s">
        <v>1411</v>
      </c>
      <c r="F89" t="s">
        <v>1402</v>
      </c>
      <c r="H89" t="s">
        <v>1157</v>
      </c>
      <c r="I89">
        <v>20</v>
      </c>
      <c r="J89" t="s">
        <v>1318</v>
      </c>
      <c r="K89" t="s">
        <v>1403</v>
      </c>
    </row>
    <row r="90" spans="1:12" x14ac:dyDescent="0.3">
      <c r="A90">
        <v>89</v>
      </c>
      <c r="B90" t="s">
        <v>1284</v>
      </c>
      <c r="C90" t="s">
        <v>1401</v>
      </c>
      <c r="D90" t="s">
        <v>1407</v>
      </c>
      <c r="F90" t="s">
        <v>1408</v>
      </c>
      <c r="H90" t="s">
        <v>1409</v>
      </c>
      <c r="I90">
        <v>20</v>
      </c>
      <c r="J90" t="s">
        <v>1318</v>
      </c>
      <c r="K90" t="s">
        <v>1410</v>
      </c>
    </row>
    <row r="91" spans="1:12" x14ac:dyDescent="0.3">
      <c r="A91">
        <v>90</v>
      </c>
      <c r="B91" t="s">
        <v>1284</v>
      </c>
      <c r="C91" t="s">
        <v>1401</v>
      </c>
      <c r="D91" t="s">
        <v>1382</v>
      </c>
      <c r="F91" t="s">
        <v>1402</v>
      </c>
      <c r="H91" t="s">
        <v>1157</v>
      </c>
      <c r="I91">
        <v>20</v>
      </c>
      <c r="J91" t="s">
        <v>1318</v>
      </c>
      <c r="K91" t="s">
        <v>1403</v>
      </c>
    </row>
    <row r="92" spans="1:12" x14ac:dyDescent="0.3">
      <c r="A92">
        <v>91</v>
      </c>
      <c r="B92" t="s">
        <v>1284</v>
      </c>
      <c r="C92" t="s">
        <v>1413</v>
      </c>
      <c r="D92" t="s">
        <v>1214</v>
      </c>
      <c r="F92" t="s">
        <v>1420</v>
      </c>
      <c r="H92" t="s">
        <v>1217</v>
      </c>
      <c r="I92">
        <v>10</v>
      </c>
      <c r="J92" t="s">
        <v>1415</v>
      </c>
      <c r="L92" t="s">
        <v>1427</v>
      </c>
    </row>
    <row r="93" spans="1:12" x14ac:dyDescent="0.3">
      <c r="A93">
        <v>92</v>
      </c>
      <c r="B93" t="s">
        <v>1284</v>
      </c>
      <c r="C93" t="s">
        <v>1413</v>
      </c>
      <c r="D93" t="s">
        <v>1220</v>
      </c>
      <c r="F93" t="s">
        <v>1420</v>
      </c>
      <c r="H93" t="s">
        <v>1160</v>
      </c>
      <c r="I93">
        <v>10</v>
      </c>
      <c r="J93" t="s">
        <v>1415</v>
      </c>
    </row>
    <row r="94" spans="1:12" x14ac:dyDescent="0.3">
      <c r="A94">
        <v>93</v>
      </c>
      <c r="B94" t="s">
        <v>1284</v>
      </c>
      <c r="C94" t="s">
        <v>1413</v>
      </c>
      <c r="D94" t="s">
        <v>1224</v>
      </c>
      <c r="F94" t="s">
        <v>1420</v>
      </c>
      <c r="H94" t="s">
        <v>1151</v>
      </c>
      <c r="I94">
        <v>10</v>
      </c>
      <c r="J94" t="s">
        <v>1415</v>
      </c>
    </row>
    <row r="95" spans="1:12" x14ac:dyDescent="0.3">
      <c r="A95">
        <v>94</v>
      </c>
      <c r="B95" t="s">
        <v>1284</v>
      </c>
      <c r="C95" t="s">
        <v>1413</v>
      </c>
      <c r="D95" t="s">
        <v>1424</v>
      </c>
      <c r="F95" t="s">
        <v>1425</v>
      </c>
      <c r="H95" t="s">
        <v>1217</v>
      </c>
      <c r="I95">
        <v>5</v>
      </c>
      <c r="J95" t="s">
        <v>1415</v>
      </c>
      <c r="L95" t="s">
        <v>1426</v>
      </c>
    </row>
    <row r="96" spans="1:12" x14ac:dyDescent="0.3">
      <c r="A96">
        <v>95</v>
      </c>
      <c r="B96" t="s">
        <v>1284</v>
      </c>
      <c r="C96" t="s">
        <v>1413</v>
      </c>
      <c r="D96" t="s">
        <v>1389</v>
      </c>
      <c r="F96" t="s">
        <v>1414</v>
      </c>
      <c r="H96" t="s">
        <v>1151</v>
      </c>
      <c r="I96">
        <v>10</v>
      </c>
      <c r="J96" t="s">
        <v>1415</v>
      </c>
    </row>
    <row r="97" spans="1:12" x14ac:dyDescent="0.3">
      <c r="A97">
        <v>96</v>
      </c>
      <c r="B97" t="s">
        <v>1284</v>
      </c>
      <c r="C97" t="s">
        <v>1413</v>
      </c>
      <c r="D97" t="s">
        <v>1279</v>
      </c>
      <c r="F97" t="s">
        <v>1414</v>
      </c>
      <c r="H97" t="s">
        <v>1280</v>
      </c>
      <c r="I97">
        <v>10</v>
      </c>
      <c r="J97" t="s">
        <v>1415</v>
      </c>
    </row>
    <row r="98" spans="1:12" x14ac:dyDescent="0.3">
      <c r="A98">
        <v>97</v>
      </c>
      <c r="B98" t="s">
        <v>1284</v>
      </c>
      <c r="C98" t="s">
        <v>1413</v>
      </c>
      <c r="D98" t="s">
        <v>1252</v>
      </c>
      <c r="F98" t="s">
        <v>1416</v>
      </c>
      <c r="H98" t="s">
        <v>1151</v>
      </c>
      <c r="I98">
        <v>10</v>
      </c>
      <c r="J98" t="s">
        <v>1415</v>
      </c>
    </row>
    <row r="99" spans="1:12" x14ac:dyDescent="0.3">
      <c r="A99">
        <v>98</v>
      </c>
      <c r="B99" t="s">
        <v>1284</v>
      </c>
      <c r="C99" t="s">
        <v>1413</v>
      </c>
      <c r="D99" t="s">
        <v>1419</v>
      </c>
      <c r="F99" t="s">
        <v>1420</v>
      </c>
      <c r="H99" t="s">
        <v>1151</v>
      </c>
      <c r="I99">
        <v>10</v>
      </c>
      <c r="J99" t="s">
        <v>1415</v>
      </c>
      <c r="L99" t="s">
        <v>1273</v>
      </c>
    </row>
    <row r="100" spans="1:12" x14ac:dyDescent="0.3">
      <c r="A100">
        <v>99</v>
      </c>
      <c r="B100" t="s">
        <v>1284</v>
      </c>
      <c r="C100" t="s">
        <v>1413</v>
      </c>
      <c r="D100" t="s">
        <v>1340</v>
      </c>
      <c r="F100" t="s">
        <v>1420</v>
      </c>
      <c r="H100" t="s">
        <v>1157</v>
      </c>
      <c r="I100">
        <v>10</v>
      </c>
      <c r="J100" t="s">
        <v>1415</v>
      </c>
    </row>
    <row r="101" spans="1:12" x14ac:dyDescent="0.3">
      <c r="A101">
        <v>100</v>
      </c>
      <c r="B101" t="s">
        <v>1284</v>
      </c>
      <c r="C101" t="s">
        <v>1413</v>
      </c>
      <c r="D101" t="s">
        <v>1329</v>
      </c>
      <c r="F101" t="s">
        <v>1423</v>
      </c>
      <c r="H101" t="s">
        <v>1151</v>
      </c>
      <c r="I101">
        <v>10</v>
      </c>
      <c r="J101" t="s">
        <v>1415</v>
      </c>
    </row>
    <row r="102" spans="1:12" x14ac:dyDescent="0.3">
      <c r="A102">
        <v>101</v>
      </c>
      <c r="B102" t="s">
        <v>1284</v>
      </c>
      <c r="C102" t="s">
        <v>1447</v>
      </c>
      <c r="D102" t="s">
        <v>1448</v>
      </c>
      <c r="F102" t="s">
        <v>1447</v>
      </c>
      <c r="H102" t="s">
        <v>1151</v>
      </c>
      <c r="I102">
        <v>1</v>
      </c>
      <c r="J102" t="s">
        <v>1449</v>
      </c>
      <c r="L102" t="s">
        <v>1450</v>
      </c>
    </row>
    <row r="103" spans="1:12" x14ac:dyDescent="0.3">
      <c r="A103">
        <v>102</v>
      </c>
      <c r="B103" t="s">
        <v>1284</v>
      </c>
      <c r="C103" t="s">
        <v>1447</v>
      </c>
      <c r="D103" t="s">
        <v>1451</v>
      </c>
      <c r="F103" t="s">
        <v>1447</v>
      </c>
      <c r="H103" t="s">
        <v>1151</v>
      </c>
      <c r="I103">
        <v>1</v>
      </c>
      <c r="J103" t="s">
        <v>1449</v>
      </c>
      <c r="L103" t="s">
        <v>1452</v>
      </c>
    </row>
    <row r="104" spans="1:12" x14ac:dyDescent="0.3">
      <c r="A104">
        <v>103</v>
      </c>
      <c r="B104" t="s">
        <v>1284</v>
      </c>
      <c r="C104" t="s">
        <v>1454</v>
      </c>
      <c r="D104" t="s">
        <v>1457</v>
      </c>
      <c r="F104" t="s">
        <v>1456</v>
      </c>
      <c r="H104" t="s">
        <v>1160</v>
      </c>
      <c r="I104">
        <v>10</v>
      </c>
      <c r="J104" t="s">
        <v>1398</v>
      </c>
      <c r="K104" t="s">
        <v>1384</v>
      </c>
      <c r="L104" t="s">
        <v>1458</v>
      </c>
    </row>
    <row r="105" spans="1:12" x14ac:dyDescent="0.3">
      <c r="A105">
        <v>104</v>
      </c>
      <c r="B105" t="s">
        <v>1284</v>
      </c>
      <c r="C105" t="s">
        <v>1454</v>
      </c>
      <c r="D105" t="s">
        <v>1455</v>
      </c>
      <c r="F105" t="s">
        <v>1456</v>
      </c>
      <c r="H105" t="s">
        <v>1160</v>
      </c>
      <c r="I105">
        <v>10</v>
      </c>
      <c r="J105" t="s">
        <v>1398</v>
      </c>
      <c r="K105" t="s">
        <v>1384</v>
      </c>
    </row>
    <row r="106" spans="1:12" x14ac:dyDescent="0.3">
      <c r="A106">
        <v>105</v>
      </c>
      <c r="B106" t="s">
        <v>1284</v>
      </c>
      <c r="C106" t="s">
        <v>1454</v>
      </c>
      <c r="D106" t="s">
        <v>1459</v>
      </c>
      <c r="F106" t="s">
        <v>1456</v>
      </c>
      <c r="H106" t="s">
        <v>1160</v>
      </c>
      <c r="I106">
        <v>10</v>
      </c>
      <c r="J106" t="s">
        <v>1398</v>
      </c>
      <c r="K106" t="s">
        <v>1384</v>
      </c>
    </row>
    <row r="107" spans="1:12" x14ac:dyDescent="0.3">
      <c r="A107">
        <v>106</v>
      </c>
      <c r="B107" t="s">
        <v>1284</v>
      </c>
      <c r="C107" t="s">
        <v>1326</v>
      </c>
      <c r="D107" t="s">
        <v>1329</v>
      </c>
      <c r="F107" t="s">
        <v>1326</v>
      </c>
      <c r="H107" t="s">
        <v>1280</v>
      </c>
      <c r="I107">
        <v>10</v>
      </c>
      <c r="J107" t="s">
        <v>1327</v>
      </c>
      <c r="L107" t="s">
        <v>1330</v>
      </c>
    </row>
    <row r="108" spans="1:12" x14ac:dyDescent="0.3">
      <c r="A108">
        <v>107</v>
      </c>
      <c r="B108" t="s">
        <v>1284</v>
      </c>
      <c r="C108" t="s">
        <v>1326</v>
      </c>
      <c r="D108" t="s">
        <v>1328</v>
      </c>
      <c r="F108" t="s">
        <v>1326</v>
      </c>
      <c r="H108" t="s">
        <v>1160</v>
      </c>
      <c r="I108">
        <v>10</v>
      </c>
      <c r="J108" t="s">
        <v>1327</v>
      </c>
    </row>
    <row r="109" spans="1:12" x14ac:dyDescent="0.3">
      <c r="A109">
        <v>108</v>
      </c>
      <c r="B109" t="s">
        <v>1284</v>
      </c>
      <c r="C109" t="s">
        <v>1326</v>
      </c>
      <c r="D109" t="s">
        <v>64</v>
      </c>
      <c r="F109" t="s">
        <v>1326</v>
      </c>
      <c r="H109" t="s">
        <v>1172</v>
      </c>
      <c r="I109">
        <v>10</v>
      </c>
      <c r="J109" t="s">
        <v>1327</v>
      </c>
    </row>
    <row r="110" spans="1:12" x14ac:dyDescent="0.3">
      <c r="A110">
        <v>109</v>
      </c>
      <c r="B110" t="s">
        <v>1284</v>
      </c>
      <c r="C110" t="s">
        <v>1439</v>
      </c>
      <c r="D110" t="s">
        <v>1440</v>
      </c>
      <c r="F110" t="s">
        <v>1441</v>
      </c>
      <c r="H110" t="s">
        <v>1157</v>
      </c>
      <c r="I110">
        <v>10</v>
      </c>
      <c r="J110" t="s">
        <v>1327</v>
      </c>
      <c r="L110" t="s">
        <v>1442</v>
      </c>
    </row>
    <row r="111" spans="1:12" x14ac:dyDescent="0.3">
      <c r="A111">
        <v>110</v>
      </c>
      <c r="B111" t="s">
        <v>1284</v>
      </c>
      <c r="C111" t="s">
        <v>1439</v>
      </c>
      <c r="D111" t="s">
        <v>1252</v>
      </c>
      <c r="F111" t="s">
        <v>1441</v>
      </c>
      <c r="H111" t="s">
        <v>1157</v>
      </c>
      <c r="I111">
        <v>10</v>
      </c>
      <c r="J111" t="s">
        <v>1327</v>
      </c>
    </row>
    <row r="112" spans="1:12" x14ac:dyDescent="0.3">
      <c r="A112">
        <v>111</v>
      </c>
      <c r="B112" t="s">
        <v>1284</v>
      </c>
      <c r="C112" t="s">
        <v>1439</v>
      </c>
      <c r="D112" t="s">
        <v>1255</v>
      </c>
      <c r="F112" t="s">
        <v>1441</v>
      </c>
      <c r="H112" t="s">
        <v>1157</v>
      </c>
      <c r="I112">
        <v>10</v>
      </c>
      <c r="J112" t="s">
        <v>1327</v>
      </c>
      <c r="L112" t="s">
        <v>1445</v>
      </c>
    </row>
    <row r="113" spans="1:10" x14ac:dyDescent="0.3">
      <c r="A113">
        <v>112</v>
      </c>
      <c r="B113" t="s">
        <v>1284</v>
      </c>
      <c r="C113" t="s">
        <v>1439</v>
      </c>
      <c r="D113" t="s">
        <v>1340</v>
      </c>
      <c r="F113" t="s">
        <v>1441</v>
      </c>
      <c r="H113" t="s">
        <v>1157</v>
      </c>
      <c r="I113">
        <v>10</v>
      </c>
      <c r="J113" t="s">
        <v>1327</v>
      </c>
    </row>
    <row r="114" spans="1:10" x14ac:dyDescent="0.3">
      <c r="A114">
        <v>113</v>
      </c>
      <c r="B114" t="s">
        <v>1284</v>
      </c>
      <c r="C114" t="s">
        <v>1439</v>
      </c>
      <c r="D114" t="s">
        <v>1391</v>
      </c>
      <c r="F114" t="s">
        <v>1443</v>
      </c>
      <c r="H114" t="s">
        <v>1157</v>
      </c>
      <c r="I114">
        <v>10</v>
      </c>
      <c r="J114" t="s">
        <v>1327</v>
      </c>
    </row>
    <row r="115" spans="1:10" x14ac:dyDescent="0.3">
      <c r="A115">
        <v>114</v>
      </c>
      <c r="B115" t="s">
        <v>1284</v>
      </c>
      <c r="C115" t="s">
        <v>1439</v>
      </c>
      <c r="D115" t="s">
        <v>1245</v>
      </c>
      <c r="F115" t="s">
        <v>1441</v>
      </c>
      <c r="H115" t="s">
        <v>1157</v>
      </c>
      <c r="I115">
        <v>10</v>
      </c>
      <c r="J115" t="s">
        <v>1327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76"/>
  <sheetViews>
    <sheetView workbookViewId="0"/>
  </sheetViews>
  <sheetFormatPr defaultRowHeight="14.4" x14ac:dyDescent="0.3"/>
  <sheetData>
    <row r="1" spans="1:2" x14ac:dyDescent="0.3">
      <c r="A1" t="s">
        <v>1564</v>
      </c>
      <c r="B1" t="s">
        <v>612</v>
      </c>
    </row>
    <row r="2" spans="1:2" x14ac:dyDescent="0.3">
      <c r="A2" t="s">
        <v>1565</v>
      </c>
      <c r="B2" t="s">
        <v>1566</v>
      </c>
    </row>
    <row r="4" spans="1:2" x14ac:dyDescent="0.3">
      <c r="A4" t="s">
        <v>1033</v>
      </c>
    </row>
    <row r="5" spans="1:2" x14ac:dyDescent="0.3">
      <c r="A5" t="s">
        <v>1567</v>
      </c>
    </row>
    <row r="6" spans="1:2" x14ac:dyDescent="0.3">
      <c r="A6" t="s">
        <v>1568</v>
      </c>
      <c r="B6" t="s">
        <v>1569</v>
      </c>
    </row>
    <row r="7" spans="1:2" x14ac:dyDescent="0.3">
      <c r="A7" t="s">
        <v>1570</v>
      </c>
      <c r="B7" t="s">
        <v>1036</v>
      </c>
    </row>
    <row r="8" spans="1:2" x14ac:dyDescent="0.3">
      <c r="A8" t="s">
        <v>1571</v>
      </c>
      <c r="B8" t="s">
        <v>1038</v>
      </c>
    </row>
    <row r="9" spans="1:2" x14ac:dyDescent="0.3">
      <c r="A9" t="s">
        <v>1572</v>
      </c>
      <c r="B9" t="s">
        <v>1040</v>
      </c>
    </row>
    <row r="10" spans="1:2" x14ac:dyDescent="0.3">
      <c r="A10" t="s">
        <v>1573</v>
      </c>
      <c r="B10" t="s">
        <v>1039</v>
      </c>
    </row>
    <row r="12" spans="1:2" x14ac:dyDescent="0.3">
      <c r="A12" t="s">
        <v>1574</v>
      </c>
    </row>
    <row r="13" spans="1:2" x14ac:dyDescent="0.3">
      <c r="A13" t="s">
        <v>1568</v>
      </c>
      <c r="B13" t="s">
        <v>1575</v>
      </c>
    </row>
    <row r="14" spans="1:2" x14ac:dyDescent="0.3">
      <c r="A14" t="s">
        <v>1570</v>
      </c>
      <c r="B14" t="s">
        <v>1042</v>
      </c>
    </row>
    <row r="15" spans="1:2" x14ac:dyDescent="0.3">
      <c r="A15" t="s">
        <v>1571</v>
      </c>
      <c r="B15" t="s">
        <v>1045</v>
      </c>
    </row>
    <row r="16" spans="1:2" x14ac:dyDescent="0.3">
      <c r="A16" t="s">
        <v>1572</v>
      </c>
      <c r="B16" t="s">
        <v>1047</v>
      </c>
    </row>
    <row r="17" spans="1:2" x14ac:dyDescent="0.3">
      <c r="A17" t="s">
        <v>1573</v>
      </c>
      <c r="B17" t="s">
        <v>1046</v>
      </c>
    </row>
    <row r="19" spans="1:2" x14ac:dyDescent="0.3">
      <c r="A19" t="s">
        <v>1576</v>
      </c>
    </row>
    <row r="20" spans="1:2" x14ac:dyDescent="0.3">
      <c r="A20" t="s">
        <v>1568</v>
      </c>
      <c r="B20" t="s">
        <v>1577</v>
      </c>
    </row>
    <row r="21" spans="1:2" x14ac:dyDescent="0.3">
      <c r="A21" t="s">
        <v>1570</v>
      </c>
      <c r="B21" t="s">
        <v>1050</v>
      </c>
    </row>
    <row r="22" spans="1:2" x14ac:dyDescent="0.3">
      <c r="A22" t="s">
        <v>1571</v>
      </c>
      <c r="B22" t="s">
        <v>1053</v>
      </c>
    </row>
    <row r="23" spans="1:2" x14ac:dyDescent="0.3">
      <c r="A23" t="s">
        <v>1572</v>
      </c>
      <c r="B23" t="s">
        <v>1055</v>
      </c>
    </row>
    <row r="24" spans="1:2" x14ac:dyDescent="0.3">
      <c r="A24" t="s">
        <v>1573</v>
      </c>
      <c r="B24" t="s">
        <v>1054</v>
      </c>
    </row>
    <row r="26" spans="1:2" x14ac:dyDescent="0.3">
      <c r="A26" t="s">
        <v>1578</v>
      </c>
    </row>
    <row r="27" spans="1:2" x14ac:dyDescent="0.3">
      <c r="A27" t="s">
        <v>1568</v>
      </c>
      <c r="B27" t="s">
        <v>1579</v>
      </c>
    </row>
    <row r="28" spans="1:2" x14ac:dyDescent="0.3">
      <c r="A28" t="s">
        <v>1570</v>
      </c>
      <c r="B28" t="s">
        <v>1057</v>
      </c>
    </row>
    <row r="29" spans="1:2" x14ac:dyDescent="0.3">
      <c r="A29" t="s">
        <v>1571</v>
      </c>
      <c r="B29" t="s">
        <v>1058</v>
      </c>
    </row>
    <row r="30" spans="1:2" x14ac:dyDescent="0.3">
      <c r="A30" t="s">
        <v>1572</v>
      </c>
      <c r="B30" t="s">
        <v>1060</v>
      </c>
    </row>
    <row r="31" spans="1:2" x14ac:dyDescent="0.3">
      <c r="A31" t="s">
        <v>1573</v>
      </c>
      <c r="B31" t="s">
        <v>1059</v>
      </c>
    </row>
    <row r="33" spans="1:2" x14ac:dyDescent="0.3">
      <c r="A33" t="s">
        <v>1580</v>
      </c>
    </row>
    <row r="34" spans="1:2" x14ac:dyDescent="0.3">
      <c r="A34" t="s">
        <v>1568</v>
      </c>
      <c r="B34" t="s">
        <v>1581</v>
      </c>
    </row>
    <row r="35" spans="1:2" x14ac:dyDescent="0.3">
      <c r="A35" t="s">
        <v>1570</v>
      </c>
      <c r="B35" t="s">
        <v>1063</v>
      </c>
    </row>
    <row r="36" spans="1:2" x14ac:dyDescent="0.3">
      <c r="A36" t="s">
        <v>1571</v>
      </c>
      <c r="B36" t="s">
        <v>1064</v>
      </c>
    </row>
    <row r="37" spans="1:2" x14ac:dyDescent="0.3">
      <c r="A37" t="s">
        <v>1572</v>
      </c>
      <c r="B37" t="s">
        <v>1066</v>
      </c>
    </row>
    <row r="38" spans="1:2" x14ac:dyDescent="0.3">
      <c r="A38" t="s">
        <v>1573</v>
      </c>
      <c r="B38" t="s">
        <v>1065</v>
      </c>
    </row>
    <row r="40" spans="1:2" x14ac:dyDescent="0.3">
      <c r="A40" t="s">
        <v>1582</v>
      </c>
    </row>
    <row r="41" spans="1:2" x14ac:dyDescent="0.3">
      <c r="A41" t="s">
        <v>1568</v>
      </c>
      <c r="B41" t="s">
        <v>1583</v>
      </c>
    </row>
    <row r="42" spans="1:2" x14ac:dyDescent="0.3">
      <c r="A42" t="s">
        <v>1570</v>
      </c>
      <c r="B42" t="s">
        <v>1068</v>
      </c>
    </row>
    <row r="43" spans="1:2" x14ac:dyDescent="0.3">
      <c r="A43" t="s">
        <v>1571</v>
      </c>
      <c r="B43" t="s">
        <v>1071</v>
      </c>
    </row>
    <row r="44" spans="1:2" x14ac:dyDescent="0.3">
      <c r="A44" t="s">
        <v>1572</v>
      </c>
      <c r="B44" t="s">
        <v>1073</v>
      </c>
    </row>
    <row r="45" spans="1:2" x14ac:dyDescent="0.3">
      <c r="A45" t="s">
        <v>1573</v>
      </c>
      <c r="B45" t="s">
        <v>1072</v>
      </c>
    </row>
    <row r="47" spans="1:2" x14ac:dyDescent="0.3">
      <c r="A47" t="s">
        <v>1584</v>
      </c>
    </row>
    <row r="48" spans="1:2" x14ac:dyDescent="0.3">
      <c r="A48" t="s">
        <v>1568</v>
      </c>
      <c r="B48" t="s">
        <v>1585</v>
      </c>
    </row>
    <row r="49" spans="1:2" x14ac:dyDescent="0.3">
      <c r="A49" t="s">
        <v>1570</v>
      </c>
      <c r="B49" t="s">
        <v>1076</v>
      </c>
    </row>
    <row r="50" spans="1:2" x14ac:dyDescent="0.3">
      <c r="A50" t="s">
        <v>1571</v>
      </c>
      <c r="B50" t="s">
        <v>1078</v>
      </c>
    </row>
    <row r="51" spans="1:2" x14ac:dyDescent="0.3">
      <c r="A51" t="s">
        <v>1572</v>
      </c>
      <c r="B51" t="s">
        <v>1080</v>
      </c>
    </row>
    <row r="52" spans="1:2" x14ac:dyDescent="0.3">
      <c r="A52" t="s">
        <v>1573</v>
      </c>
      <c r="B52" t="s">
        <v>1079</v>
      </c>
    </row>
    <row r="54" spans="1:2" x14ac:dyDescent="0.3">
      <c r="A54" t="s">
        <v>1586</v>
      </c>
    </row>
    <row r="55" spans="1:2" x14ac:dyDescent="0.3">
      <c r="A55" t="s">
        <v>1568</v>
      </c>
      <c r="B55" t="s">
        <v>1587</v>
      </c>
    </row>
    <row r="56" spans="1:2" x14ac:dyDescent="0.3">
      <c r="A56" t="s">
        <v>1570</v>
      </c>
      <c r="B56" t="s">
        <v>1083</v>
      </c>
    </row>
    <row r="57" spans="1:2" x14ac:dyDescent="0.3">
      <c r="A57" t="s">
        <v>1571</v>
      </c>
      <c r="B57" t="s">
        <v>1085</v>
      </c>
    </row>
    <row r="58" spans="1:2" x14ac:dyDescent="0.3">
      <c r="A58" t="s">
        <v>1572</v>
      </c>
      <c r="B58" t="s">
        <v>1087</v>
      </c>
    </row>
    <row r="59" spans="1:2" x14ac:dyDescent="0.3">
      <c r="A59" t="s">
        <v>1573</v>
      </c>
      <c r="B59" t="s">
        <v>1086</v>
      </c>
    </row>
    <row r="61" spans="1:2" x14ac:dyDescent="0.3">
      <c r="A61" t="s">
        <v>1588</v>
      </c>
    </row>
    <row r="62" spans="1:2" x14ac:dyDescent="0.3">
      <c r="A62" t="s">
        <v>1568</v>
      </c>
      <c r="B62" t="s">
        <v>1589</v>
      </c>
    </row>
    <row r="63" spans="1:2" x14ac:dyDescent="0.3">
      <c r="A63" t="s">
        <v>1570</v>
      </c>
      <c r="B63" t="s">
        <v>1089</v>
      </c>
    </row>
    <row r="64" spans="1:2" x14ac:dyDescent="0.3">
      <c r="A64" t="s">
        <v>1571</v>
      </c>
      <c r="B64" t="s">
        <v>1092</v>
      </c>
    </row>
    <row r="65" spans="1:2" x14ac:dyDescent="0.3">
      <c r="A65" t="s">
        <v>1572</v>
      </c>
      <c r="B65" t="s">
        <v>1094</v>
      </c>
    </row>
    <row r="66" spans="1:2" x14ac:dyDescent="0.3">
      <c r="A66" t="s">
        <v>1573</v>
      </c>
      <c r="B66" t="s">
        <v>1093</v>
      </c>
    </row>
    <row r="68" spans="1:2" x14ac:dyDescent="0.3">
      <c r="A68" t="s">
        <v>1590</v>
      </c>
    </row>
    <row r="69" spans="1:2" x14ac:dyDescent="0.3">
      <c r="A69" t="s">
        <v>1568</v>
      </c>
      <c r="B69" t="s">
        <v>1591</v>
      </c>
    </row>
    <row r="70" spans="1:2" x14ac:dyDescent="0.3">
      <c r="A70" t="s">
        <v>1570</v>
      </c>
      <c r="B70" t="s">
        <v>1096</v>
      </c>
    </row>
    <row r="71" spans="1:2" x14ac:dyDescent="0.3">
      <c r="A71" t="s">
        <v>1571</v>
      </c>
      <c r="B71" t="s">
        <v>1098</v>
      </c>
    </row>
    <row r="72" spans="1:2" x14ac:dyDescent="0.3">
      <c r="A72" t="s">
        <v>1572</v>
      </c>
      <c r="B72" t="s">
        <v>1100</v>
      </c>
    </row>
    <row r="73" spans="1:2" x14ac:dyDescent="0.3">
      <c r="A73" t="s">
        <v>1573</v>
      </c>
      <c r="B73" t="s">
        <v>1099</v>
      </c>
    </row>
    <row r="75" spans="1:2" x14ac:dyDescent="0.3">
      <c r="A75" t="s">
        <v>1592</v>
      </c>
    </row>
    <row r="76" spans="1:2" x14ac:dyDescent="0.3">
      <c r="A76" t="s">
        <v>1568</v>
      </c>
      <c r="B76" t="s">
        <v>1593</v>
      </c>
    </row>
    <row r="77" spans="1:2" x14ac:dyDescent="0.3">
      <c r="A77" t="s">
        <v>1570</v>
      </c>
      <c r="B77" t="s">
        <v>1103</v>
      </c>
    </row>
    <row r="78" spans="1:2" x14ac:dyDescent="0.3">
      <c r="A78" t="s">
        <v>1571</v>
      </c>
      <c r="B78" t="s">
        <v>1106</v>
      </c>
    </row>
    <row r="79" spans="1:2" x14ac:dyDescent="0.3">
      <c r="A79" t="s">
        <v>1572</v>
      </c>
      <c r="B79" t="s">
        <v>1108</v>
      </c>
    </row>
    <row r="80" spans="1:2" x14ac:dyDescent="0.3">
      <c r="A80" t="s">
        <v>1573</v>
      </c>
      <c r="B80" t="s">
        <v>1107</v>
      </c>
    </row>
    <row r="82" spans="1:2" x14ac:dyDescent="0.3">
      <c r="A82" t="s">
        <v>1594</v>
      </c>
    </row>
    <row r="83" spans="1:2" x14ac:dyDescent="0.3">
      <c r="A83" t="s">
        <v>1568</v>
      </c>
      <c r="B83" t="s">
        <v>1595</v>
      </c>
    </row>
    <row r="84" spans="1:2" x14ac:dyDescent="0.3">
      <c r="A84" t="s">
        <v>1570</v>
      </c>
      <c r="B84" t="s">
        <v>1110</v>
      </c>
    </row>
    <row r="85" spans="1:2" x14ac:dyDescent="0.3">
      <c r="A85" t="s">
        <v>1571</v>
      </c>
      <c r="B85" t="s">
        <v>1113</v>
      </c>
    </row>
    <row r="86" spans="1:2" x14ac:dyDescent="0.3">
      <c r="A86" t="s">
        <v>1572</v>
      </c>
      <c r="B86" t="s">
        <v>1115</v>
      </c>
    </row>
    <row r="87" spans="1:2" x14ac:dyDescent="0.3">
      <c r="A87" t="s">
        <v>1573</v>
      </c>
      <c r="B87" t="s">
        <v>1114</v>
      </c>
    </row>
    <row r="89" spans="1:2" x14ac:dyDescent="0.3">
      <c r="A89" t="s">
        <v>1596</v>
      </c>
    </row>
    <row r="90" spans="1:2" x14ac:dyDescent="0.3">
      <c r="A90" t="s">
        <v>1568</v>
      </c>
      <c r="B90" t="s">
        <v>1597</v>
      </c>
    </row>
    <row r="91" spans="1:2" x14ac:dyDescent="0.3">
      <c r="A91" t="s">
        <v>1570</v>
      </c>
      <c r="B91" t="s">
        <v>1116</v>
      </c>
    </row>
    <row r="92" spans="1:2" x14ac:dyDescent="0.3">
      <c r="A92" t="s">
        <v>1571</v>
      </c>
      <c r="B92" t="s">
        <v>1119</v>
      </c>
    </row>
    <row r="93" spans="1:2" x14ac:dyDescent="0.3">
      <c r="A93" t="s">
        <v>1572</v>
      </c>
      <c r="B93" t="s">
        <v>1121</v>
      </c>
    </row>
    <row r="94" spans="1:2" x14ac:dyDescent="0.3">
      <c r="A94" t="s">
        <v>1573</v>
      </c>
      <c r="B94" t="s">
        <v>1120</v>
      </c>
    </row>
    <row r="96" spans="1:2" x14ac:dyDescent="0.3">
      <c r="A96" t="s">
        <v>1598</v>
      </c>
    </row>
    <row r="97" spans="1:2" x14ac:dyDescent="0.3">
      <c r="A97" t="s">
        <v>1568</v>
      </c>
      <c r="B97" t="s">
        <v>1599</v>
      </c>
    </row>
    <row r="98" spans="1:2" x14ac:dyDescent="0.3">
      <c r="A98" t="s">
        <v>1570</v>
      </c>
      <c r="B98" t="s">
        <v>1124</v>
      </c>
    </row>
    <row r="99" spans="1:2" x14ac:dyDescent="0.3">
      <c r="A99" t="s">
        <v>1571</v>
      </c>
      <c r="B99" t="s">
        <v>1126</v>
      </c>
    </row>
    <row r="100" spans="1:2" x14ac:dyDescent="0.3">
      <c r="A100" t="s">
        <v>1572</v>
      </c>
      <c r="B100" t="s">
        <v>1128</v>
      </c>
    </row>
    <row r="101" spans="1:2" x14ac:dyDescent="0.3">
      <c r="A101" t="s">
        <v>1573</v>
      </c>
      <c r="B101" t="s">
        <v>1127</v>
      </c>
    </row>
    <row r="103" spans="1:2" x14ac:dyDescent="0.3">
      <c r="A103" t="s">
        <v>860</v>
      </c>
    </row>
    <row r="104" spans="1:2" x14ac:dyDescent="0.3">
      <c r="A104" t="s">
        <v>1600</v>
      </c>
    </row>
    <row r="105" spans="1:2" x14ac:dyDescent="0.3">
      <c r="A105" t="s">
        <v>1568</v>
      </c>
      <c r="B105" t="s">
        <v>1601</v>
      </c>
    </row>
    <row r="106" spans="1:2" x14ac:dyDescent="0.3">
      <c r="A106" t="s">
        <v>1570</v>
      </c>
      <c r="B106" t="s">
        <v>863</v>
      </c>
    </row>
    <row r="107" spans="1:2" x14ac:dyDescent="0.3">
      <c r="A107" t="s">
        <v>1571</v>
      </c>
      <c r="B107" t="s">
        <v>866</v>
      </c>
    </row>
    <row r="108" spans="1:2" x14ac:dyDescent="0.3">
      <c r="A108" t="s">
        <v>1572</v>
      </c>
      <c r="B108" t="s">
        <v>868</v>
      </c>
    </row>
    <row r="109" spans="1:2" x14ac:dyDescent="0.3">
      <c r="A109" t="s">
        <v>1573</v>
      </c>
      <c r="B109" t="s">
        <v>867</v>
      </c>
    </row>
    <row r="111" spans="1:2" x14ac:dyDescent="0.3">
      <c r="A111" t="s">
        <v>1602</v>
      </c>
    </row>
    <row r="112" spans="1:2" x14ac:dyDescent="0.3">
      <c r="A112" t="s">
        <v>1568</v>
      </c>
      <c r="B112" t="s">
        <v>1603</v>
      </c>
    </row>
    <row r="113" spans="1:2" x14ac:dyDescent="0.3">
      <c r="A113" t="s">
        <v>1570</v>
      </c>
      <c r="B113" t="s">
        <v>871</v>
      </c>
    </row>
    <row r="114" spans="1:2" x14ac:dyDescent="0.3">
      <c r="A114" t="s">
        <v>1571</v>
      </c>
      <c r="B114" t="s">
        <v>874</v>
      </c>
    </row>
    <row r="115" spans="1:2" x14ac:dyDescent="0.3">
      <c r="A115" t="s">
        <v>1572</v>
      </c>
      <c r="B115" t="s">
        <v>876</v>
      </c>
    </row>
    <row r="116" spans="1:2" x14ac:dyDescent="0.3">
      <c r="A116" t="s">
        <v>1573</v>
      </c>
      <c r="B116" t="s">
        <v>875</v>
      </c>
    </row>
    <row r="118" spans="1:2" x14ac:dyDescent="0.3">
      <c r="A118" t="s">
        <v>1604</v>
      </c>
    </row>
    <row r="119" spans="1:2" x14ac:dyDescent="0.3">
      <c r="A119" t="s">
        <v>1568</v>
      </c>
      <c r="B119" t="s">
        <v>1605</v>
      </c>
    </row>
    <row r="120" spans="1:2" x14ac:dyDescent="0.3">
      <c r="A120" t="s">
        <v>1570</v>
      </c>
      <c r="B120" t="s">
        <v>879</v>
      </c>
    </row>
    <row r="121" spans="1:2" x14ac:dyDescent="0.3">
      <c r="A121" t="s">
        <v>1571</v>
      </c>
      <c r="B121" t="s">
        <v>881</v>
      </c>
    </row>
    <row r="122" spans="1:2" x14ac:dyDescent="0.3">
      <c r="A122" t="s">
        <v>1572</v>
      </c>
      <c r="B122" t="s">
        <v>883</v>
      </c>
    </row>
    <row r="123" spans="1:2" x14ac:dyDescent="0.3">
      <c r="A123" t="s">
        <v>1573</v>
      </c>
      <c r="B123" t="s">
        <v>882</v>
      </c>
    </row>
    <row r="125" spans="1:2" x14ac:dyDescent="0.3">
      <c r="A125" t="s">
        <v>1606</v>
      </c>
    </row>
    <row r="126" spans="1:2" x14ac:dyDescent="0.3">
      <c r="A126" t="s">
        <v>1568</v>
      </c>
      <c r="B126" t="s">
        <v>1607</v>
      </c>
    </row>
    <row r="127" spans="1:2" x14ac:dyDescent="0.3">
      <c r="A127" t="s">
        <v>1570</v>
      </c>
      <c r="B127" t="s">
        <v>886</v>
      </c>
    </row>
    <row r="128" spans="1:2" x14ac:dyDescent="0.3">
      <c r="A128" t="s">
        <v>1571</v>
      </c>
      <c r="B128" t="s">
        <v>889</v>
      </c>
    </row>
    <row r="129" spans="1:2" x14ac:dyDescent="0.3">
      <c r="A129" t="s">
        <v>1572</v>
      </c>
      <c r="B129" t="s">
        <v>891</v>
      </c>
    </row>
    <row r="130" spans="1:2" x14ac:dyDescent="0.3">
      <c r="A130" t="s">
        <v>1573</v>
      </c>
      <c r="B130" t="s">
        <v>890</v>
      </c>
    </row>
    <row r="132" spans="1:2" x14ac:dyDescent="0.3">
      <c r="A132" t="s">
        <v>1608</v>
      </c>
    </row>
    <row r="133" spans="1:2" x14ac:dyDescent="0.3">
      <c r="A133" t="s">
        <v>1568</v>
      </c>
      <c r="B133" t="s">
        <v>1609</v>
      </c>
    </row>
    <row r="134" spans="1:2" x14ac:dyDescent="0.3">
      <c r="A134" t="s">
        <v>1570</v>
      </c>
      <c r="B134" t="s">
        <v>894</v>
      </c>
    </row>
    <row r="135" spans="1:2" x14ac:dyDescent="0.3">
      <c r="A135" t="s">
        <v>1571</v>
      </c>
      <c r="B135" t="s">
        <v>896</v>
      </c>
    </row>
    <row r="136" spans="1:2" x14ac:dyDescent="0.3">
      <c r="A136" t="s">
        <v>1572</v>
      </c>
      <c r="B136" t="s">
        <v>898</v>
      </c>
    </row>
    <row r="137" spans="1:2" x14ac:dyDescent="0.3">
      <c r="A137" t="s">
        <v>1573</v>
      </c>
      <c r="B137" t="s">
        <v>897</v>
      </c>
    </row>
    <row r="139" spans="1:2" x14ac:dyDescent="0.3">
      <c r="A139" t="s">
        <v>1610</v>
      </c>
    </row>
    <row r="140" spans="1:2" x14ac:dyDescent="0.3">
      <c r="A140" t="s">
        <v>1568</v>
      </c>
      <c r="B140" t="s">
        <v>1611</v>
      </c>
    </row>
    <row r="141" spans="1:2" x14ac:dyDescent="0.3">
      <c r="A141" t="s">
        <v>1570</v>
      </c>
      <c r="B141" t="s">
        <v>901</v>
      </c>
    </row>
    <row r="142" spans="1:2" x14ac:dyDescent="0.3">
      <c r="A142" t="s">
        <v>1571</v>
      </c>
      <c r="B142" t="s">
        <v>903</v>
      </c>
    </row>
    <row r="143" spans="1:2" x14ac:dyDescent="0.3">
      <c r="A143" t="s">
        <v>1572</v>
      </c>
      <c r="B143" t="s">
        <v>905</v>
      </c>
    </row>
    <row r="144" spans="1:2" x14ac:dyDescent="0.3">
      <c r="A144" t="s">
        <v>1573</v>
      </c>
      <c r="B144" t="s">
        <v>904</v>
      </c>
    </row>
    <row r="146" spans="1:2" x14ac:dyDescent="0.3">
      <c r="A146" t="s">
        <v>1612</v>
      </c>
    </row>
    <row r="147" spans="1:2" x14ac:dyDescent="0.3">
      <c r="A147" t="s">
        <v>1568</v>
      </c>
      <c r="B147" t="s">
        <v>1613</v>
      </c>
    </row>
    <row r="148" spans="1:2" x14ac:dyDescent="0.3">
      <c r="A148" t="s">
        <v>1570</v>
      </c>
      <c r="B148" t="s">
        <v>908</v>
      </c>
    </row>
    <row r="149" spans="1:2" x14ac:dyDescent="0.3">
      <c r="A149" t="s">
        <v>1571</v>
      </c>
      <c r="B149" t="s">
        <v>911</v>
      </c>
    </row>
    <row r="150" spans="1:2" x14ac:dyDescent="0.3">
      <c r="A150" t="s">
        <v>1572</v>
      </c>
      <c r="B150" t="s">
        <v>913</v>
      </c>
    </row>
    <row r="151" spans="1:2" x14ac:dyDescent="0.3">
      <c r="A151" t="s">
        <v>1573</v>
      </c>
      <c r="B151" t="s">
        <v>912</v>
      </c>
    </row>
    <row r="153" spans="1:2" x14ac:dyDescent="0.3">
      <c r="A153" t="s">
        <v>1614</v>
      </c>
    </row>
    <row r="154" spans="1:2" x14ac:dyDescent="0.3">
      <c r="A154" t="s">
        <v>1568</v>
      </c>
      <c r="B154" t="s">
        <v>1615</v>
      </c>
    </row>
    <row r="155" spans="1:2" x14ac:dyDescent="0.3">
      <c r="A155" t="s">
        <v>1570</v>
      </c>
      <c r="B155" t="s">
        <v>916</v>
      </c>
    </row>
    <row r="156" spans="1:2" x14ac:dyDescent="0.3">
      <c r="A156" t="s">
        <v>1571</v>
      </c>
      <c r="B156" t="s">
        <v>919</v>
      </c>
    </row>
    <row r="157" spans="1:2" x14ac:dyDescent="0.3">
      <c r="A157" t="s">
        <v>1572</v>
      </c>
      <c r="B157" t="s">
        <v>921</v>
      </c>
    </row>
    <row r="158" spans="1:2" x14ac:dyDescent="0.3">
      <c r="A158" t="s">
        <v>1573</v>
      </c>
      <c r="B158" t="s">
        <v>920</v>
      </c>
    </row>
    <row r="160" spans="1:2" x14ac:dyDescent="0.3">
      <c r="A160" t="s">
        <v>1616</v>
      </c>
    </row>
    <row r="161" spans="1:2" x14ac:dyDescent="0.3">
      <c r="A161" t="s">
        <v>1568</v>
      </c>
      <c r="B161" t="s">
        <v>1617</v>
      </c>
    </row>
    <row r="162" spans="1:2" x14ac:dyDescent="0.3">
      <c r="A162" t="s">
        <v>1570</v>
      </c>
      <c r="B162" t="s">
        <v>924</v>
      </c>
    </row>
    <row r="163" spans="1:2" x14ac:dyDescent="0.3">
      <c r="A163" t="s">
        <v>1571</v>
      </c>
      <c r="B163" t="s">
        <v>926</v>
      </c>
    </row>
    <row r="164" spans="1:2" x14ac:dyDescent="0.3">
      <c r="A164" t="s">
        <v>1572</v>
      </c>
      <c r="B164" t="s">
        <v>928</v>
      </c>
    </row>
    <row r="165" spans="1:2" x14ac:dyDescent="0.3">
      <c r="A165" t="s">
        <v>1573</v>
      </c>
      <c r="B165" t="s">
        <v>927</v>
      </c>
    </row>
    <row r="167" spans="1:2" x14ac:dyDescent="0.3">
      <c r="A167" t="s">
        <v>701</v>
      </c>
    </row>
    <row r="168" spans="1:2" x14ac:dyDescent="0.3">
      <c r="A168" t="s">
        <v>1618</v>
      </c>
    </row>
    <row r="169" spans="1:2" x14ac:dyDescent="0.3">
      <c r="A169" t="s">
        <v>1568</v>
      </c>
      <c r="B169" t="s">
        <v>1619</v>
      </c>
    </row>
    <row r="170" spans="1:2" x14ac:dyDescent="0.3">
      <c r="A170" t="s">
        <v>1570</v>
      </c>
      <c r="B170" t="s">
        <v>704</v>
      </c>
    </row>
    <row r="171" spans="1:2" x14ac:dyDescent="0.3">
      <c r="A171" t="s">
        <v>1571</v>
      </c>
      <c r="B171" t="s">
        <v>707</v>
      </c>
    </row>
    <row r="172" spans="1:2" x14ac:dyDescent="0.3">
      <c r="A172" t="s">
        <v>1572</v>
      </c>
      <c r="B172" t="s">
        <v>709</v>
      </c>
    </row>
    <row r="173" spans="1:2" x14ac:dyDescent="0.3">
      <c r="A173" t="s">
        <v>1573</v>
      </c>
      <c r="B173" t="s">
        <v>708</v>
      </c>
    </row>
    <row r="175" spans="1:2" x14ac:dyDescent="0.3">
      <c r="A175" t="s">
        <v>1620</v>
      </c>
    </row>
    <row r="176" spans="1:2" x14ac:dyDescent="0.3">
      <c r="A176" t="s">
        <v>1568</v>
      </c>
      <c r="B176" t="s">
        <v>1621</v>
      </c>
    </row>
    <row r="177" spans="1:2" x14ac:dyDescent="0.3">
      <c r="A177" t="s">
        <v>1570</v>
      </c>
      <c r="B177" t="s">
        <v>712</v>
      </c>
    </row>
    <row r="178" spans="1:2" x14ac:dyDescent="0.3">
      <c r="A178" t="s">
        <v>1571</v>
      </c>
      <c r="B178" t="s">
        <v>715</v>
      </c>
    </row>
    <row r="179" spans="1:2" x14ac:dyDescent="0.3">
      <c r="A179" t="s">
        <v>1572</v>
      </c>
      <c r="B179" t="s">
        <v>717</v>
      </c>
    </row>
    <row r="180" spans="1:2" x14ac:dyDescent="0.3">
      <c r="A180" t="s">
        <v>1573</v>
      </c>
      <c r="B180" t="s">
        <v>716</v>
      </c>
    </row>
    <row r="182" spans="1:2" x14ac:dyDescent="0.3">
      <c r="A182" t="s">
        <v>1622</v>
      </c>
    </row>
    <row r="183" spans="1:2" x14ac:dyDescent="0.3">
      <c r="A183" t="s">
        <v>1568</v>
      </c>
      <c r="B183" t="s">
        <v>1623</v>
      </c>
    </row>
    <row r="184" spans="1:2" x14ac:dyDescent="0.3">
      <c r="A184" t="s">
        <v>1570</v>
      </c>
      <c r="B184" t="s">
        <v>720</v>
      </c>
    </row>
    <row r="185" spans="1:2" x14ac:dyDescent="0.3">
      <c r="A185" t="s">
        <v>1571</v>
      </c>
      <c r="B185" t="s">
        <v>723</v>
      </c>
    </row>
    <row r="186" spans="1:2" x14ac:dyDescent="0.3">
      <c r="A186" t="s">
        <v>1572</v>
      </c>
      <c r="B186" t="s">
        <v>725</v>
      </c>
    </row>
    <row r="187" spans="1:2" x14ac:dyDescent="0.3">
      <c r="A187" t="s">
        <v>1573</v>
      </c>
      <c r="B187" t="s">
        <v>724</v>
      </c>
    </row>
    <row r="189" spans="1:2" x14ac:dyDescent="0.3">
      <c r="A189" t="s">
        <v>1624</v>
      </c>
    </row>
    <row r="190" spans="1:2" x14ac:dyDescent="0.3">
      <c r="A190" t="s">
        <v>1568</v>
      </c>
      <c r="B190" t="s">
        <v>1625</v>
      </c>
    </row>
    <row r="191" spans="1:2" x14ac:dyDescent="0.3">
      <c r="A191" t="s">
        <v>1570</v>
      </c>
      <c r="B191" t="s">
        <v>728</v>
      </c>
    </row>
    <row r="192" spans="1:2" x14ac:dyDescent="0.3">
      <c r="A192" t="s">
        <v>1571</v>
      </c>
      <c r="B192" t="s">
        <v>731</v>
      </c>
    </row>
    <row r="193" spans="1:2" x14ac:dyDescent="0.3">
      <c r="A193" t="s">
        <v>1572</v>
      </c>
      <c r="B193" t="s">
        <v>733</v>
      </c>
    </row>
    <row r="194" spans="1:2" x14ac:dyDescent="0.3">
      <c r="A194" t="s">
        <v>1573</v>
      </c>
      <c r="B194" t="s">
        <v>732</v>
      </c>
    </row>
    <row r="196" spans="1:2" x14ac:dyDescent="0.3">
      <c r="A196" t="s">
        <v>1626</v>
      </c>
    </row>
    <row r="197" spans="1:2" x14ac:dyDescent="0.3">
      <c r="A197" t="s">
        <v>1568</v>
      </c>
      <c r="B197" t="s">
        <v>1627</v>
      </c>
    </row>
    <row r="198" spans="1:2" x14ac:dyDescent="0.3">
      <c r="A198" t="s">
        <v>1570</v>
      </c>
      <c r="B198" t="s">
        <v>736</v>
      </c>
    </row>
    <row r="199" spans="1:2" x14ac:dyDescent="0.3">
      <c r="A199" t="s">
        <v>1571</v>
      </c>
      <c r="B199" t="s">
        <v>739</v>
      </c>
    </row>
    <row r="200" spans="1:2" x14ac:dyDescent="0.3">
      <c r="A200" t="s">
        <v>1572</v>
      </c>
      <c r="B200" t="s">
        <v>741</v>
      </c>
    </row>
    <row r="201" spans="1:2" x14ac:dyDescent="0.3">
      <c r="A201" t="s">
        <v>1573</v>
      </c>
      <c r="B201" t="s">
        <v>740</v>
      </c>
    </row>
    <row r="203" spans="1:2" x14ac:dyDescent="0.3">
      <c r="A203" t="s">
        <v>1628</v>
      </c>
    </row>
    <row r="204" spans="1:2" x14ac:dyDescent="0.3">
      <c r="A204" t="s">
        <v>1568</v>
      </c>
      <c r="B204" t="s">
        <v>1629</v>
      </c>
    </row>
    <row r="205" spans="1:2" x14ac:dyDescent="0.3">
      <c r="A205" t="s">
        <v>1570</v>
      </c>
      <c r="B205" t="s">
        <v>744</v>
      </c>
    </row>
    <row r="206" spans="1:2" x14ac:dyDescent="0.3">
      <c r="A206" t="s">
        <v>1571</v>
      </c>
      <c r="B206" t="s">
        <v>747</v>
      </c>
    </row>
    <row r="207" spans="1:2" x14ac:dyDescent="0.3">
      <c r="A207" t="s">
        <v>1572</v>
      </c>
      <c r="B207" t="s">
        <v>749</v>
      </c>
    </row>
    <row r="208" spans="1:2" x14ac:dyDescent="0.3">
      <c r="A208" t="s">
        <v>1573</v>
      </c>
      <c r="B208" t="s">
        <v>748</v>
      </c>
    </row>
    <row r="210" spans="1:2" x14ac:dyDescent="0.3">
      <c r="A210" t="s">
        <v>1630</v>
      </c>
    </row>
    <row r="211" spans="1:2" x14ac:dyDescent="0.3">
      <c r="A211" t="s">
        <v>1568</v>
      </c>
      <c r="B211" t="s">
        <v>1631</v>
      </c>
    </row>
    <row r="212" spans="1:2" x14ac:dyDescent="0.3">
      <c r="A212" t="s">
        <v>1570</v>
      </c>
      <c r="B212" t="s">
        <v>752</v>
      </c>
    </row>
    <row r="213" spans="1:2" x14ac:dyDescent="0.3">
      <c r="A213" t="s">
        <v>1571</v>
      </c>
      <c r="B213" t="s">
        <v>755</v>
      </c>
    </row>
    <row r="214" spans="1:2" x14ac:dyDescent="0.3">
      <c r="A214" t="s">
        <v>1572</v>
      </c>
      <c r="B214" t="s">
        <v>757</v>
      </c>
    </row>
    <row r="215" spans="1:2" x14ac:dyDescent="0.3">
      <c r="A215" t="s">
        <v>1573</v>
      </c>
      <c r="B215" t="s">
        <v>756</v>
      </c>
    </row>
    <row r="217" spans="1:2" x14ac:dyDescent="0.3">
      <c r="A217" t="s">
        <v>1632</v>
      </c>
    </row>
    <row r="218" spans="1:2" x14ac:dyDescent="0.3">
      <c r="A218" t="s">
        <v>1568</v>
      </c>
      <c r="B218" t="s">
        <v>1633</v>
      </c>
    </row>
    <row r="219" spans="1:2" x14ac:dyDescent="0.3">
      <c r="A219" t="s">
        <v>1570</v>
      </c>
      <c r="B219" t="s">
        <v>760</v>
      </c>
    </row>
    <row r="220" spans="1:2" x14ac:dyDescent="0.3">
      <c r="A220" t="s">
        <v>1571</v>
      </c>
      <c r="B220" t="s">
        <v>762</v>
      </c>
    </row>
    <row r="221" spans="1:2" x14ac:dyDescent="0.3">
      <c r="A221" t="s">
        <v>1572</v>
      </c>
      <c r="B221" t="s">
        <v>764</v>
      </c>
    </row>
    <row r="222" spans="1:2" x14ac:dyDescent="0.3">
      <c r="A222" t="s">
        <v>1573</v>
      </c>
      <c r="B222" t="s">
        <v>763</v>
      </c>
    </row>
    <row r="224" spans="1:2" x14ac:dyDescent="0.3">
      <c r="A224" t="s">
        <v>1634</v>
      </c>
    </row>
    <row r="225" spans="1:2" x14ac:dyDescent="0.3">
      <c r="A225" t="s">
        <v>1568</v>
      </c>
      <c r="B225" t="s">
        <v>1635</v>
      </c>
    </row>
    <row r="226" spans="1:2" x14ac:dyDescent="0.3">
      <c r="A226" t="s">
        <v>1570</v>
      </c>
      <c r="B226" t="s">
        <v>767</v>
      </c>
    </row>
    <row r="227" spans="1:2" x14ac:dyDescent="0.3">
      <c r="A227" t="s">
        <v>1571</v>
      </c>
      <c r="B227" t="s">
        <v>769</v>
      </c>
    </row>
    <row r="228" spans="1:2" x14ac:dyDescent="0.3">
      <c r="A228" t="s">
        <v>1572</v>
      </c>
      <c r="B228" t="s">
        <v>771</v>
      </c>
    </row>
    <row r="229" spans="1:2" x14ac:dyDescent="0.3">
      <c r="A229" t="s">
        <v>1573</v>
      </c>
      <c r="B229" t="s">
        <v>770</v>
      </c>
    </row>
    <row r="231" spans="1:2" x14ac:dyDescent="0.3">
      <c r="A231" t="s">
        <v>1636</v>
      </c>
    </row>
    <row r="232" spans="1:2" x14ac:dyDescent="0.3">
      <c r="A232" t="s">
        <v>1568</v>
      </c>
      <c r="B232" t="s">
        <v>1637</v>
      </c>
    </row>
    <row r="233" spans="1:2" x14ac:dyDescent="0.3">
      <c r="A233" t="s">
        <v>1570</v>
      </c>
      <c r="B233" t="s">
        <v>774</v>
      </c>
    </row>
    <row r="234" spans="1:2" x14ac:dyDescent="0.3">
      <c r="A234" t="s">
        <v>1571</v>
      </c>
      <c r="B234" t="s">
        <v>776</v>
      </c>
    </row>
    <row r="235" spans="1:2" x14ac:dyDescent="0.3">
      <c r="A235" t="s">
        <v>1572</v>
      </c>
      <c r="B235" t="s">
        <v>778</v>
      </c>
    </row>
    <row r="236" spans="1:2" x14ac:dyDescent="0.3">
      <c r="A236" t="s">
        <v>1573</v>
      </c>
      <c r="B236" t="s">
        <v>777</v>
      </c>
    </row>
    <row r="238" spans="1:2" x14ac:dyDescent="0.3">
      <c r="A238" t="s">
        <v>1638</v>
      </c>
    </row>
    <row r="239" spans="1:2" x14ac:dyDescent="0.3">
      <c r="A239" t="s">
        <v>1568</v>
      </c>
      <c r="B239" t="s">
        <v>1639</v>
      </c>
    </row>
    <row r="240" spans="1:2" x14ac:dyDescent="0.3">
      <c r="A240" t="s">
        <v>1570</v>
      </c>
      <c r="B240" t="s">
        <v>781</v>
      </c>
    </row>
    <row r="241" spans="1:2" x14ac:dyDescent="0.3">
      <c r="A241" t="s">
        <v>1571</v>
      </c>
      <c r="B241" t="s">
        <v>783</v>
      </c>
    </row>
    <row r="242" spans="1:2" x14ac:dyDescent="0.3">
      <c r="A242" t="s">
        <v>1572</v>
      </c>
      <c r="B242" t="s">
        <v>785</v>
      </c>
    </row>
    <row r="243" spans="1:2" x14ac:dyDescent="0.3">
      <c r="A243" t="s">
        <v>1573</v>
      </c>
      <c r="B243" t="s">
        <v>784</v>
      </c>
    </row>
    <row r="245" spans="1:2" x14ac:dyDescent="0.3">
      <c r="A245" t="s">
        <v>1640</v>
      </c>
    </row>
    <row r="246" spans="1:2" x14ac:dyDescent="0.3">
      <c r="A246" t="s">
        <v>1568</v>
      </c>
      <c r="B246" t="s">
        <v>1641</v>
      </c>
    </row>
    <row r="247" spans="1:2" x14ac:dyDescent="0.3">
      <c r="A247" t="s">
        <v>1570</v>
      </c>
      <c r="B247" t="s">
        <v>788</v>
      </c>
    </row>
    <row r="248" spans="1:2" x14ac:dyDescent="0.3">
      <c r="A248" t="s">
        <v>1571</v>
      </c>
      <c r="B248" t="s">
        <v>791</v>
      </c>
    </row>
    <row r="249" spans="1:2" x14ac:dyDescent="0.3">
      <c r="A249" t="s">
        <v>1572</v>
      </c>
      <c r="B249" t="s">
        <v>793</v>
      </c>
    </row>
    <row r="250" spans="1:2" x14ac:dyDescent="0.3">
      <c r="A250" t="s">
        <v>1573</v>
      </c>
      <c r="B250" t="s">
        <v>792</v>
      </c>
    </row>
    <row r="252" spans="1:2" x14ac:dyDescent="0.3">
      <c r="A252" t="s">
        <v>1642</v>
      </c>
    </row>
    <row r="253" spans="1:2" x14ac:dyDescent="0.3">
      <c r="A253" t="s">
        <v>1568</v>
      </c>
      <c r="B253" t="s">
        <v>1643</v>
      </c>
    </row>
    <row r="254" spans="1:2" x14ac:dyDescent="0.3">
      <c r="A254" t="s">
        <v>1570</v>
      </c>
      <c r="B254" t="s">
        <v>796</v>
      </c>
    </row>
    <row r="255" spans="1:2" x14ac:dyDescent="0.3">
      <c r="A255" t="s">
        <v>1571</v>
      </c>
      <c r="B255" t="s">
        <v>799</v>
      </c>
    </row>
    <row r="256" spans="1:2" x14ac:dyDescent="0.3">
      <c r="A256" t="s">
        <v>1572</v>
      </c>
      <c r="B256" t="s">
        <v>801</v>
      </c>
    </row>
    <row r="257" spans="1:2" x14ac:dyDescent="0.3">
      <c r="A257" t="s">
        <v>1573</v>
      </c>
      <c r="B257" t="s">
        <v>800</v>
      </c>
    </row>
    <row r="259" spans="1:2" x14ac:dyDescent="0.3">
      <c r="A259" t="s">
        <v>1644</v>
      </c>
    </row>
    <row r="260" spans="1:2" x14ac:dyDescent="0.3">
      <c r="A260" t="s">
        <v>1568</v>
      </c>
      <c r="B260" t="s">
        <v>1645</v>
      </c>
    </row>
    <row r="261" spans="1:2" x14ac:dyDescent="0.3">
      <c r="A261" t="s">
        <v>1570</v>
      </c>
      <c r="B261" t="s">
        <v>804</v>
      </c>
    </row>
    <row r="262" spans="1:2" x14ac:dyDescent="0.3">
      <c r="A262" t="s">
        <v>1571</v>
      </c>
      <c r="B262" t="s">
        <v>807</v>
      </c>
    </row>
    <row r="263" spans="1:2" x14ac:dyDescent="0.3">
      <c r="A263" t="s">
        <v>1572</v>
      </c>
      <c r="B263" t="s">
        <v>809</v>
      </c>
    </row>
    <row r="264" spans="1:2" x14ac:dyDescent="0.3">
      <c r="A264" t="s">
        <v>1573</v>
      </c>
      <c r="B264" t="s">
        <v>808</v>
      </c>
    </row>
    <row r="266" spans="1:2" x14ac:dyDescent="0.3">
      <c r="A266" t="s">
        <v>1646</v>
      </c>
    </row>
    <row r="267" spans="1:2" x14ac:dyDescent="0.3">
      <c r="A267" t="s">
        <v>1568</v>
      </c>
      <c r="B267" t="s">
        <v>1647</v>
      </c>
    </row>
    <row r="268" spans="1:2" x14ac:dyDescent="0.3">
      <c r="A268" t="s">
        <v>1570</v>
      </c>
      <c r="B268" t="s">
        <v>813</v>
      </c>
    </row>
    <row r="269" spans="1:2" x14ac:dyDescent="0.3">
      <c r="A269" t="s">
        <v>1571</v>
      </c>
      <c r="B269" t="s">
        <v>815</v>
      </c>
    </row>
    <row r="270" spans="1:2" x14ac:dyDescent="0.3">
      <c r="A270" t="s">
        <v>1572</v>
      </c>
      <c r="B270" t="s">
        <v>817</v>
      </c>
    </row>
    <row r="271" spans="1:2" x14ac:dyDescent="0.3">
      <c r="A271" t="s">
        <v>1573</v>
      </c>
      <c r="B271" t="s">
        <v>816</v>
      </c>
    </row>
    <row r="273" spans="1:2" x14ac:dyDescent="0.3">
      <c r="A273" t="s">
        <v>1648</v>
      </c>
    </row>
    <row r="274" spans="1:2" x14ac:dyDescent="0.3">
      <c r="A274" t="s">
        <v>1568</v>
      </c>
      <c r="B274" t="s">
        <v>1649</v>
      </c>
    </row>
    <row r="275" spans="1:2" x14ac:dyDescent="0.3">
      <c r="A275" t="s">
        <v>1570</v>
      </c>
      <c r="B275" t="s">
        <v>819</v>
      </c>
    </row>
    <row r="276" spans="1:2" x14ac:dyDescent="0.3">
      <c r="A276" t="s">
        <v>1571</v>
      </c>
      <c r="B276" t="s">
        <v>821</v>
      </c>
    </row>
    <row r="277" spans="1:2" x14ac:dyDescent="0.3">
      <c r="A277" t="s">
        <v>1572</v>
      </c>
      <c r="B277" t="s">
        <v>823</v>
      </c>
    </row>
    <row r="278" spans="1:2" x14ac:dyDescent="0.3">
      <c r="A278" t="s">
        <v>1573</v>
      </c>
      <c r="B278" t="s">
        <v>822</v>
      </c>
    </row>
    <row r="280" spans="1:2" x14ac:dyDescent="0.3">
      <c r="A280" t="s">
        <v>1650</v>
      </c>
    </row>
    <row r="281" spans="1:2" x14ac:dyDescent="0.3">
      <c r="A281" t="s">
        <v>1568</v>
      </c>
      <c r="B281" t="s">
        <v>1651</v>
      </c>
    </row>
    <row r="282" spans="1:2" x14ac:dyDescent="0.3">
      <c r="A282" t="s">
        <v>1570</v>
      </c>
      <c r="B282" t="s">
        <v>826</v>
      </c>
    </row>
    <row r="283" spans="1:2" x14ac:dyDescent="0.3">
      <c r="A283" t="s">
        <v>1571</v>
      </c>
      <c r="B283" t="s">
        <v>828</v>
      </c>
    </row>
    <row r="284" spans="1:2" x14ac:dyDescent="0.3">
      <c r="A284" t="s">
        <v>1572</v>
      </c>
      <c r="B284" t="s">
        <v>830</v>
      </c>
    </row>
    <row r="285" spans="1:2" x14ac:dyDescent="0.3">
      <c r="A285" t="s">
        <v>1573</v>
      </c>
      <c r="B285" t="s">
        <v>829</v>
      </c>
    </row>
    <row r="287" spans="1:2" x14ac:dyDescent="0.3">
      <c r="A287" t="s">
        <v>1652</v>
      </c>
    </row>
    <row r="288" spans="1:2" x14ac:dyDescent="0.3">
      <c r="A288" t="s">
        <v>1568</v>
      </c>
      <c r="B288" t="s">
        <v>1653</v>
      </c>
    </row>
    <row r="289" spans="1:2" x14ac:dyDescent="0.3">
      <c r="A289" t="s">
        <v>1570</v>
      </c>
      <c r="B289" t="s">
        <v>833</v>
      </c>
    </row>
    <row r="290" spans="1:2" x14ac:dyDescent="0.3">
      <c r="A290" t="s">
        <v>1571</v>
      </c>
      <c r="B290" t="s">
        <v>835</v>
      </c>
    </row>
    <row r="291" spans="1:2" x14ac:dyDescent="0.3">
      <c r="A291" t="s">
        <v>1572</v>
      </c>
      <c r="B291" t="s">
        <v>837</v>
      </c>
    </row>
    <row r="292" spans="1:2" x14ac:dyDescent="0.3">
      <c r="A292" t="s">
        <v>1573</v>
      </c>
      <c r="B292" t="s">
        <v>836</v>
      </c>
    </row>
    <row r="294" spans="1:2" x14ac:dyDescent="0.3">
      <c r="A294" t="s">
        <v>1654</v>
      </c>
    </row>
    <row r="295" spans="1:2" x14ac:dyDescent="0.3">
      <c r="A295" t="s">
        <v>1568</v>
      </c>
      <c r="B295" t="s">
        <v>1655</v>
      </c>
    </row>
    <row r="296" spans="1:2" x14ac:dyDescent="0.3">
      <c r="A296" t="s">
        <v>1570</v>
      </c>
      <c r="B296" t="s">
        <v>840</v>
      </c>
    </row>
    <row r="297" spans="1:2" x14ac:dyDescent="0.3">
      <c r="A297" t="s">
        <v>1571</v>
      </c>
      <c r="B297" t="s">
        <v>968</v>
      </c>
    </row>
    <row r="298" spans="1:2" x14ac:dyDescent="0.3">
      <c r="A298" t="s">
        <v>1572</v>
      </c>
      <c r="B298" t="s">
        <v>1656</v>
      </c>
    </row>
    <row r="299" spans="1:2" x14ac:dyDescent="0.3">
      <c r="A299" t="s">
        <v>1573</v>
      </c>
      <c r="B299" t="s">
        <v>1657</v>
      </c>
    </row>
    <row r="301" spans="1:2" x14ac:dyDescent="0.3">
      <c r="A301" t="s">
        <v>1658</v>
      </c>
    </row>
    <row r="302" spans="1:2" x14ac:dyDescent="0.3">
      <c r="A302" t="s">
        <v>1568</v>
      </c>
      <c r="B302" t="s">
        <v>1659</v>
      </c>
    </row>
    <row r="303" spans="1:2" x14ac:dyDescent="0.3">
      <c r="A303" t="s">
        <v>1570</v>
      </c>
      <c r="B303" t="s">
        <v>848</v>
      </c>
    </row>
    <row r="304" spans="1:2" x14ac:dyDescent="0.3">
      <c r="A304" t="s">
        <v>1571</v>
      </c>
      <c r="B304" t="s">
        <v>850</v>
      </c>
    </row>
    <row r="305" spans="1:2" x14ac:dyDescent="0.3">
      <c r="A305" t="s">
        <v>1572</v>
      </c>
      <c r="B305" t="s">
        <v>852</v>
      </c>
    </row>
    <row r="306" spans="1:2" x14ac:dyDescent="0.3">
      <c r="A306" t="s">
        <v>1573</v>
      </c>
      <c r="B306" t="s">
        <v>851</v>
      </c>
    </row>
    <row r="308" spans="1:2" x14ac:dyDescent="0.3">
      <c r="A308" t="s">
        <v>1660</v>
      </c>
    </row>
    <row r="309" spans="1:2" x14ac:dyDescent="0.3">
      <c r="A309" t="s">
        <v>1568</v>
      </c>
      <c r="B309" t="s">
        <v>1661</v>
      </c>
    </row>
    <row r="310" spans="1:2" x14ac:dyDescent="0.3">
      <c r="A310" t="s">
        <v>1570</v>
      </c>
      <c r="B310" t="s">
        <v>855</v>
      </c>
    </row>
    <row r="311" spans="1:2" x14ac:dyDescent="0.3">
      <c r="A311" t="s">
        <v>1571</v>
      </c>
      <c r="B311" t="s">
        <v>857</v>
      </c>
    </row>
    <row r="312" spans="1:2" x14ac:dyDescent="0.3">
      <c r="A312" t="s">
        <v>1572</v>
      </c>
      <c r="B312" t="s">
        <v>859</v>
      </c>
    </row>
    <row r="313" spans="1:2" x14ac:dyDescent="0.3">
      <c r="A313" t="s">
        <v>1573</v>
      </c>
      <c r="B313" t="s">
        <v>858</v>
      </c>
    </row>
    <row r="315" spans="1:2" x14ac:dyDescent="0.3">
      <c r="A315" t="s">
        <v>929</v>
      </c>
    </row>
    <row r="316" spans="1:2" x14ac:dyDescent="0.3">
      <c r="A316" t="s">
        <v>1662</v>
      </c>
    </row>
    <row r="317" spans="1:2" x14ac:dyDescent="0.3">
      <c r="A317" t="s">
        <v>1568</v>
      </c>
      <c r="B317" t="s">
        <v>1663</v>
      </c>
    </row>
    <row r="318" spans="1:2" x14ac:dyDescent="0.3">
      <c r="A318" t="s">
        <v>1570</v>
      </c>
      <c r="B318" t="s">
        <v>932</v>
      </c>
    </row>
    <row r="319" spans="1:2" x14ac:dyDescent="0.3">
      <c r="A319" t="s">
        <v>1571</v>
      </c>
      <c r="B319" t="s">
        <v>934</v>
      </c>
    </row>
    <row r="320" spans="1:2" x14ac:dyDescent="0.3">
      <c r="A320" t="s">
        <v>1572</v>
      </c>
      <c r="B320" t="s">
        <v>936</v>
      </c>
    </row>
    <row r="321" spans="1:2" x14ac:dyDescent="0.3">
      <c r="A321" t="s">
        <v>1573</v>
      </c>
      <c r="B321" t="s">
        <v>935</v>
      </c>
    </row>
    <row r="323" spans="1:2" x14ac:dyDescent="0.3">
      <c r="A323" t="s">
        <v>1664</v>
      </c>
    </row>
    <row r="324" spans="1:2" x14ac:dyDescent="0.3">
      <c r="A324" t="s">
        <v>1568</v>
      </c>
      <c r="B324" t="s">
        <v>1665</v>
      </c>
    </row>
    <row r="325" spans="1:2" x14ac:dyDescent="0.3">
      <c r="A325" t="s">
        <v>1570</v>
      </c>
      <c r="B325" t="s">
        <v>939</v>
      </c>
    </row>
    <row r="326" spans="1:2" x14ac:dyDescent="0.3">
      <c r="A326" t="s">
        <v>1571</v>
      </c>
      <c r="B326" t="s">
        <v>941</v>
      </c>
    </row>
    <row r="327" spans="1:2" x14ac:dyDescent="0.3">
      <c r="A327" t="s">
        <v>1572</v>
      </c>
      <c r="B327" t="s">
        <v>943</v>
      </c>
    </row>
    <row r="328" spans="1:2" x14ac:dyDescent="0.3">
      <c r="A328" t="s">
        <v>1573</v>
      </c>
      <c r="B328" t="s">
        <v>942</v>
      </c>
    </row>
    <row r="330" spans="1:2" x14ac:dyDescent="0.3">
      <c r="A330" t="s">
        <v>1666</v>
      </c>
    </row>
    <row r="331" spans="1:2" x14ac:dyDescent="0.3">
      <c r="A331" t="s">
        <v>1568</v>
      </c>
      <c r="B331" t="s">
        <v>1667</v>
      </c>
    </row>
    <row r="332" spans="1:2" x14ac:dyDescent="0.3">
      <c r="A332" t="s">
        <v>1570</v>
      </c>
      <c r="B332" t="s">
        <v>946</v>
      </c>
    </row>
    <row r="333" spans="1:2" x14ac:dyDescent="0.3">
      <c r="A333" t="s">
        <v>1571</v>
      </c>
      <c r="B333" t="s">
        <v>948</v>
      </c>
    </row>
    <row r="334" spans="1:2" x14ac:dyDescent="0.3">
      <c r="A334" t="s">
        <v>1572</v>
      </c>
      <c r="B334" t="s">
        <v>950</v>
      </c>
    </row>
    <row r="335" spans="1:2" x14ac:dyDescent="0.3">
      <c r="A335" t="s">
        <v>1573</v>
      </c>
      <c r="B335" t="s">
        <v>949</v>
      </c>
    </row>
    <row r="337" spans="1:2" x14ac:dyDescent="0.3">
      <c r="A337" t="s">
        <v>1668</v>
      </c>
    </row>
    <row r="338" spans="1:2" x14ac:dyDescent="0.3">
      <c r="A338" t="s">
        <v>1568</v>
      </c>
      <c r="B338" t="s">
        <v>1669</v>
      </c>
    </row>
    <row r="339" spans="1:2" x14ac:dyDescent="0.3">
      <c r="A339" t="s">
        <v>1570</v>
      </c>
      <c r="B339" t="s">
        <v>951</v>
      </c>
    </row>
    <row r="340" spans="1:2" x14ac:dyDescent="0.3">
      <c r="A340" t="s">
        <v>1571</v>
      </c>
      <c r="B340" t="s">
        <v>953</v>
      </c>
    </row>
    <row r="341" spans="1:2" x14ac:dyDescent="0.3">
      <c r="A341" t="s">
        <v>1572</v>
      </c>
      <c r="B341" t="s">
        <v>955</v>
      </c>
    </row>
    <row r="342" spans="1:2" x14ac:dyDescent="0.3">
      <c r="A342" t="s">
        <v>1573</v>
      </c>
      <c r="B342" t="s">
        <v>954</v>
      </c>
    </row>
    <row r="344" spans="1:2" x14ac:dyDescent="0.3">
      <c r="A344" t="s">
        <v>1670</v>
      </c>
    </row>
    <row r="345" spans="1:2" x14ac:dyDescent="0.3">
      <c r="A345" t="s">
        <v>1568</v>
      </c>
      <c r="B345" t="s">
        <v>1671</v>
      </c>
    </row>
    <row r="346" spans="1:2" x14ac:dyDescent="0.3">
      <c r="A346" t="s">
        <v>1570</v>
      </c>
      <c r="B346" t="s">
        <v>958</v>
      </c>
    </row>
    <row r="347" spans="1:2" x14ac:dyDescent="0.3">
      <c r="A347" t="s">
        <v>1571</v>
      </c>
      <c r="B347" t="s">
        <v>960</v>
      </c>
    </row>
    <row r="348" spans="1:2" x14ac:dyDescent="0.3">
      <c r="A348" t="s">
        <v>1572</v>
      </c>
      <c r="B348" t="s">
        <v>962</v>
      </c>
    </row>
    <row r="349" spans="1:2" x14ac:dyDescent="0.3">
      <c r="A349" t="s">
        <v>1573</v>
      </c>
      <c r="B349" t="s">
        <v>961</v>
      </c>
    </row>
    <row r="351" spans="1:2" x14ac:dyDescent="0.3">
      <c r="A351" t="s">
        <v>1672</v>
      </c>
    </row>
    <row r="352" spans="1:2" x14ac:dyDescent="0.3">
      <c r="A352" t="s">
        <v>1568</v>
      </c>
      <c r="B352" t="s">
        <v>1673</v>
      </c>
    </row>
    <row r="353" spans="1:2" x14ac:dyDescent="0.3">
      <c r="A353" t="s">
        <v>1570</v>
      </c>
      <c r="B353" t="s">
        <v>965</v>
      </c>
    </row>
    <row r="354" spans="1:2" x14ac:dyDescent="0.3">
      <c r="A354" t="s">
        <v>1571</v>
      </c>
      <c r="B354" t="s">
        <v>968</v>
      </c>
    </row>
    <row r="355" spans="1:2" x14ac:dyDescent="0.3">
      <c r="A355" t="s">
        <v>1572</v>
      </c>
      <c r="B355" t="s">
        <v>970</v>
      </c>
    </row>
    <row r="356" spans="1:2" x14ac:dyDescent="0.3">
      <c r="A356" t="s">
        <v>1573</v>
      </c>
      <c r="B356" t="s">
        <v>969</v>
      </c>
    </row>
    <row r="358" spans="1:2" x14ac:dyDescent="0.3">
      <c r="A358" t="s">
        <v>1674</v>
      </c>
    </row>
    <row r="359" spans="1:2" x14ac:dyDescent="0.3">
      <c r="A359" t="s">
        <v>1568</v>
      </c>
      <c r="B359" t="s">
        <v>1675</v>
      </c>
    </row>
    <row r="360" spans="1:2" x14ac:dyDescent="0.3">
      <c r="A360" t="s">
        <v>1570</v>
      </c>
      <c r="B360" t="s">
        <v>973</v>
      </c>
    </row>
    <row r="361" spans="1:2" x14ac:dyDescent="0.3">
      <c r="A361" t="s">
        <v>1571</v>
      </c>
      <c r="B361" t="s">
        <v>975</v>
      </c>
    </row>
    <row r="362" spans="1:2" x14ac:dyDescent="0.3">
      <c r="A362" t="s">
        <v>1572</v>
      </c>
      <c r="B362" t="s">
        <v>977</v>
      </c>
    </row>
    <row r="363" spans="1:2" x14ac:dyDescent="0.3">
      <c r="A363" t="s">
        <v>1573</v>
      </c>
      <c r="B363" t="s">
        <v>976</v>
      </c>
    </row>
    <row r="365" spans="1:2" x14ac:dyDescent="0.3">
      <c r="A365" t="s">
        <v>1676</v>
      </c>
    </row>
    <row r="366" spans="1:2" x14ac:dyDescent="0.3">
      <c r="A366" t="s">
        <v>1568</v>
      </c>
      <c r="B366" t="s">
        <v>1677</v>
      </c>
    </row>
    <row r="367" spans="1:2" x14ac:dyDescent="0.3">
      <c r="A367" t="s">
        <v>1570</v>
      </c>
      <c r="B367" t="s">
        <v>980</v>
      </c>
    </row>
    <row r="368" spans="1:2" x14ac:dyDescent="0.3">
      <c r="A368" t="s">
        <v>1571</v>
      </c>
      <c r="B368" t="s">
        <v>982</v>
      </c>
    </row>
    <row r="369" spans="1:2" x14ac:dyDescent="0.3">
      <c r="A369" t="s">
        <v>1572</v>
      </c>
      <c r="B369" t="s">
        <v>984</v>
      </c>
    </row>
    <row r="370" spans="1:2" x14ac:dyDescent="0.3">
      <c r="A370" t="s">
        <v>1573</v>
      </c>
      <c r="B370" t="s">
        <v>983</v>
      </c>
    </row>
    <row r="372" spans="1:2" x14ac:dyDescent="0.3">
      <c r="A372" t="s">
        <v>1678</v>
      </c>
    </row>
    <row r="373" spans="1:2" x14ac:dyDescent="0.3">
      <c r="A373" t="s">
        <v>1568</v>
      </c>
      <c r="B373" t="s">
        <v>1679</v>
      </c>
    </row>
    <row r="374" spans="1:2" x14ac:dyDescent="0.3">
      <c r="A374" t="s">
        <v>1570</v>
      </c>
      <c r="B374" t="s">
        <v>985</v>
      </c>
    </row>
    <row r="375" spans="1:2" x14ac:dyDescent="0.3">
      <c r="A375" t="s">
        <v>1571</v>
      </c>
      <c r="B375" t="s">
        <v>987</v>
      </c>
    </row>
    <row r="376" spans="1:2" x14ac:dyDescent="0.3">
      <c r="A376" t="s">
        <v>1572</v>
      </c>
      <c r="B376" t="s">
        <v>989</v>
      </c>
    </row>
    <row r="377" spans="1:2" x14ac:dyDescent="0.3">
      <c r="A377" t="s">
        <v>1573</v>
      </c>
      <c r="B377" t="s">
        <v>988</v>
      </c>
    </row>
    <row r="379" spans="1:2" x14ac:dyDescent="0.3">
      <c r="A379" t="s">
        <v>1680</v>
      </c>
    </row>
    <row r="380" spans="1:2" x14ac:dyDescent="0.3">
      <c r="A380" t="s">
        <v>1568</v>
      </c>
      <c r="B380" t="s">
        <v>1681</v>
      </c>
    </row>
    <row r="381" spans="1:2" x14ac:dyDescent="0.3">
      <c r="A381" t="s">
        <v>1570</v>
      </c>
      <c r="B381" t="s">
        <v>992</v>
      </c>
    </row>
    <row r="382" spans="1:2" x14ac:dyDescent="0.3">
      <c r="A382" t="s">
        <v>1571</v>
      </c>
      <c r="B382" t="s">
        <v>995</v>
      </c>
    </row>
    <row r="383" spans="1:2" x14ac:dyDescent="0.3">
      <c r="A383" t="s">
        <v>1572</v>
      </c>
      <c r="B383" t="s">
        <v>997</v>
      </c>
    </row>
    <row r="384" spans="1:2" x14ac:dyDescent="0.3">
      <c r="A384" t="s">
        <v>1573</v>
      </c>
      <c r="B384" t="s">
        <v>996</v>
      </c>
    </row>
    <row r="386" spans="1:2" x14ac:dyDescent="0.3">
      <c r="A386" t="s">
        <v>1682</v>
      </c>
    </row>
    <row r="387" spans="1:2" x14ac:dyDescent="0.3">
      <c r="A387" t="s">
        <v>1568</v>
      </c>
      <c r="B387" t="s">
        <v>1683</v>
      </c>
    </row>
    <row r="388" spans="1:2" x14ac:dyDescent="0.3">
      <c r="A388" t="s">
        <v>1570</v>
      </c>
      <c r="B388" t="s">
        <v>1000</v>
      </c>
    </row>
    <row r="389" spans="1:2" x14ac:dyDescent="0.3">
      <c r="A389" t="s">
        <v>1571</v>
      </c>
      <c r="B389" t="s">
        <v>1002</v>
      </c>
    </row>
    <row r="390" spans="1:2" x14ac:dyDescent="0.3">
      <c r="A390" t="s">
        <v>1572</v>
      </c>
      <c r="B390" t="s">
        <v>1004</v>
      </c>
    </row>
    <row r="391" spans="1:2" x14ac:dyDescent="0.3">
      <c r="A391" t="s">
        <v>1573</v>
      </c>
      <c r="B391" t="s">
        <v>1003</v>
      </c>
    </row>
    <row r="393" spans="1:2" x14ac:dyDescent="0.3">
      <c r="A393" t="s">
        <v>1684</v>
      </c>
    </row>
    <row r="394" spans="1:2" x14ac:dyDescent="0.3">
      <c r="A394" t="s">
        <v>1568</v>
      </c>
      <c r="B394" t="s">
        <v>1685</v>
      </c>
    </row>
    <row r="395" spans="1:2" x14ac:dyDescent="0.3">
      <c r="A395" t="s">
        <v>1570</v>
      </c>
      <c r="B395" t="s">
        <v>1007</v>
      </c>
    </row>
    <row r="396" spans="1:2" x14ac:dyDescent="0.3">
      <c r="A396" t="s">
        <v>1571</v>
      </c>
      <c r="B396" t="s">
        <v>1009</v>
      </c>
    </row>
    <row r="397" spans="1:2" x14ac:dyDescent="0.3">
      <c r="A397" t="s">
        <v>1572</v>
      </c>
      <c r="B397" t="s">
        <v>1011</v>
      </c>
    </row>
    <row r="398" spans="1:2" x14ac:dyDescent="0.3">
      <c r="A398" t="s">
        <v>1573</v>
      </c>
      <c r="B398" t="s">
        <v>1010</v>
      </c>
    </row>
    <row r="400" spans="1:2" x14ac:dyDescent="0.3">
      <c r="A400" t="s">
        <v>1686</v>
      </c>
    </row>
    <row r="401" spans="1:2" x14ac:dyDescent="0.3">
      <c r="A401" t="s">
        <v>1568</v>
      </c>
      <c r="B401" t="s">
        <v>1687</v>
      </c>
    </row>
    <row r="402" spans="1:2" x14ac:dyDescent="0.3">
      <c r="A402" t="s">
        <v>1570</v>
      </c>
      <c r="B402" t="s">
        <v>1014</v>
      </c>
    </row>
    <row r="403" spans="1:2" x14ac:dyDescent="0.3">
      <c r="A403" t="s">
        <v>1571</v>
      </c>
      <c r="B403" t="s">
        <v>1016</v>
      </c>
    </row>
    <row r="404" spans="1:2" x14ac:dyDescent="0.3">
      <c r="A404" t="s">
        <v>1572</v>
      </c>
      <c r="B404" t="s">
        <v>1018</v>
      </c>
    </row>
    <row r="405" spans="1:2" x14ac:dyDescent="0.3">
      <c r="A405" t="s">
        <v>1573</v>
      </c>
      <c r="B405" t="s">
        <v>1017</v>
      </c>
    </row>
    <row r="407" spans="1:2" x14ac:dyDescent="0.3">
      <c r="A407" t="s">
        <v>1688</v>
      </c>
    </row>
    <row r="408" spans="1:2" x14ac:dyDescent="0.3">
      <c r="A408" t="s">
        <v>1568</v>
      </c>
      <c r="B408" t="s">
        <v>1689</v>
      </c>
    </row>
    <row r="409" spans="1:2" x14ac:dyDescent="0.3">
      <c r="A409" t="s">
        <v>1570</v>
      </c>
      <c r="B409" t="s">
        <v>1020</v>
      </c>
    </row>
    <row r="410" spans="1:2" x14ac:dyDescent="0.3">
      <c r="A410" t="s">
        <v>1571</v>
      </c>
      <c r="B410" t="s">
        <v>1023</v>
      </c>
    </row>
    <row r="411" spans="1:2" x14ac:dyDescent="0.3">
      <c r="A411" t="s">
        <v>1572</v>
      </c>
      <c r="B411" t="s">
        <v>1025</v>
      </c>
    </row>
    <row r="412" spans="1:2" x14ac:dyDescent="0.3">
      <c r="A412" t="s">
        <v>1573</v>
      </c>
      <c r="B412" t="s">
        <v>1024</v>
      </c>
    </row>
    <row r="414" spans="1:2" x14ac:dyDescent="0.3">
      <c r="A414" t="s">
        <v>1690</v>
      </c>
    </row>
    <row r="415" spans="1:2" x14ac:dyDescent="0.3">
      <c r="A415" t="s">
        <v>1568</v>
      </c>
      <c r="B415" t="s">
        <v>1691</v>
      </c>
    </row>
    <row r="416" spans="1:2" x14ac:dyDescent="0.3">
      <c r="A416" t="s">
        <v>1570</v>
      </c>
      <c r="B416" t="s">
        <v>1028</v>
      </c>
    </row>
    <row r="417" spans="1:2" x14ac:dyDescent="0.3">
      <c r="A417" t="s">
        <v>1571</v>
      </c>
      <c r="B417" t="s">
        <v>1030</v>
      </c>
    </row>
    <row r="418" spans="1:2" x14ac:dyDescent="0.3">
      <c r="A418" t="s">
        <v>1572</v>
      </c>
      <c r="B418" t="s">
        <v>1032</v>
      </c>
    </row>
    <row r="419" spans="1:2" x14ac:dyDescent="0.3">
      <c r="A419" t="s">
        <v>1573</v>
      </c>
      <c r="B419" t="s">
        <v>1031</v>
      </c>
    </row>
    <row r="421" spans="1:2" x14ac:dyDescent="0.3">
      <c r="A421" t="s">
        <v>635</v>
      </c>
    </row>
    <row r="422" spans="1:2" x14ac:dyDescent="0.3">
      <c r="A422" t="s">
        <v>1692</v>
      </c>
    </row>
    <row r="423" spans="1:2" x14ac:dyDescent="0.3">
      <c r="A423" t="s">
        <v>1568</v>
      </c>
      <c r="B423" t="s">
        <v>1693</v>
      </c>
    </row>
    <row r="424" spans="1:2" x14ac:dyDescent="0.3">
      <c r="A424" t="s">
        <v>1570</v>
      </c>
      <c r="B424" t="s">
        <v>638</v>
      </c>
    </row>
    <row r="425" spans="1:2" x14ac:dyDescent="0.3">
      <c r="A425" t="s">
        <v>1571</v>
      </c>
      <c r="B425" t="s">
        <v>641</v>
      </c>
    </row>
    <row r="426" spans="1:2" x14ac:dyDescent="0.3">
      <c r="A426" t="s">
        <v>1572</v>
      </c>
      <c r="B426" t="s">
        <v>643</v>
      </c>
    </row>
    <row r="427" spans="1:2" x14ac:dyDescent="0.3">
      <c r="A427" t="s">
        <v>1573</v>
      </c>
      <c r="B427" t="s">
        <v>642</v>
      </c>
    </row>
    <row r="429" spans="1:2" x14ac:dyDescent="0.3">
      <c r="A429" t="s">
        <v>1694</v>
      </c>
    </row>
    <row r="430" spans="1:2" x14ac:dyDescent="0.3">
      <c r="A430" t="s">
        <v>1568</v>
      </c>
      <c r="B430" t="s">
        <v>1695</v>
      </c>
    </row>
    <row r="431" spans="1:2" x14ac:dyDescent="0.3">
      <c r="A431" t="s">
        <v>1570</v>
      </c>
      <c r="B431" t="s">
        <v>647</v>
      </c>
    </row>
    <row r="432" spans="1:2" x14ac:dyDescent="0.3">
      <c r="A432" t="s">
        <v>1571</v>
      </c>
      <c r="B432" t="s">
        <v>650</v>
      </c>
    </row>
    <row r="433" spans="1:2" x14ac:dyDescent="0.3">
      <c r="A433" t="s">
        <v>1572</v>
      </c>
      <c r="B433" t="s">
        <v>652</v>
      </c>
    </row>
    <row r="434" spans="1:2" x14ac:dyDescent="0.3">
      <c r="A434" t="s">
        <v>1573</v>
      </c>
      <c r="B434" t="s">
        <v>651</v>
      </c>
    </row>
    <row r="436" spans="1:2" x14ac:dyDescent="0.3">
      <c r="A436" t="s">
        <v>1696</v>
      </c>
    </row>
    <row r="437" spans="1:2" x14ac:dyDescent="0.3">
      <c r="A437" t="s">
        <v>1568</v>
      </c>
      <c r="B437" t="s">
        <v>1697</v>
      </c>
    </row>
    <row r="438" spans="1:2" x14ac:dyDescent="0.3">
      <c r="A438" t="s">
        <v>1570</v>
      </c>
      <c r="B438" t="s">
        <v>655</v>
      </c>
    </row>
    <row r="439" spans="1:2" x14ac:dyDescent="0.3">
      <c r="A439" t="s">
        <v>1571</v>
      </c>
      <c r="B439" t="s">
        <v>658</v>
      </c>
    </row>
    <row r="440" spans="1:2" x14ac:dyDescent="0.3">
      <c r="A440" t="s">
        <v>1572</v>
      </c>
      <c r="B440" t="s">
        <v>660</v>
      </c>
    </row>
    <row r="441" spans="1:2" x14ac:dyDescent="0.3">
      <c r="A441" t="s">
        <v>1573</v>
      </c>
      <c r="B441" t="s">
        <v>659</v>
      </c>
    </row>
    <row r="443" spans="1:2" x14ac:dyDescent="0.3">
      <c r="A443" t="s">
        <v>1698</v>
      </c>
    </row>
    <row r="444" spans="1:2" x14ac:dyDescent="0.3">
      <c r="A444" t="s">
        <v>1568</v>
      </c>
      <c r="B444" t="s">
        <v>1699</v>
      </c>
    </row>
    <row r="445" spans="1:2" x14ac:dyDescent="0.3">
      <c r="A445" t="s">
        <v>1570</v>
      </c>
      <c r="B445" t="s">
        <v>663</v>
      </c>
    </row>
    <row r="446" spans="1:2" x14ac:dyDescent="0.3">
      <c r="A446" t="s">
        <v>1571</v>
      </c>
      <c r="B446" t="s">
        <v>666</v>
      </c>
    </row>
    <row r="447" spans="1:2" x14ac:dyDescent="0.3">
      <c r="A447" t="s">
        <v>1572</v>
      </c>
      <c r="B447" t="s">
        <v>668</v>
      </c>
    </row>
    <row r="448" spans="1:2" x14ac:dyDescent="0.3">
      <c r="A448" t="s">
        <v>1573</v>
      </c>
      <c r="B448" t="s">
        <v>667</v>
      </c>
    </row>
    <row r="450" spans="1:2" x14ac:dyDescent="0.3">
      <c r="A450" t="s">
        <v>1700</v>
      </c>
    </row>
    <row r="451" spans="1:2" x14ac:dyDescent="0.3">
      <c r="A451" t="s">
        <v>1568</v>
      </c>
      <c r="B451" t="s">
        <v>1701</v>
      </c>
    </row>
    <row r="452" spans="1:2" x14ac:dyDescent="0.3">
      <c r="A452" t="s">
        <v>1570</v>
      </c>
      <c r="B452" t="s">
        <v>671</v>
      </c>
    </row>
    <row r="453" spans="1:2" x14ac:dyDescent="0.3">
      <c r="A453" t="s">
        <v>1571</v>
      </c>
      <c r="B453" t="s">
        <v>674</v>
      </c>
    </row>
    <row r="454" spans="1:2" x14ac:dyDescent="0.3">
      <c r="A454" t="s">
        <v>1572</v>
      </c>
      <c r="B454" t="s">
        <v>676</v>
      </c>
    </row>
    <row r="455" spans="1:2" x14ac:dyDescent="0.3">
      <c r="A455" t="s">
        <v>1573</v>
      </c>
      <c r="B455" t="s">
        <v>675</v>
      </c>
    </row>
    <row r="457" spans="1:2" x14ac:dyDescent="0.3">
      <c r="A457" t="s">
        <v>1702</v>
      </c>
    </row>
    <row r="458" spans="1:2" x14ac:dyDescent="0.3">
      <c r="A458" t="s">
        <v>1568</v>
      </c>
      <c r="B458" t="s">
        <v>1703</v>
      </c>
    </row>
    <row r="459" spans="1:2" x14ac:dyDescent="0.3">
      <c r="A459" t="s">
        <v>1570</v>
      </c>
      <c r="B459" t="s">
        <v>680</v>
      </c>
    </row>
    <row r="460" spans="1:2" x14ac:dyDescent="0.3">
      <c r="A460" t="s">
        <v>1571</v>
      </c>
      <c r="B460" t="s">
        <v>682</v>
      </c>
    </row>
    <row r="461" spans="1:2" x14ac:dyDescent="0.3">
      <c r="A461" t="s">
        <v>1572</v>
      </c>
      <c r="B461" t="s">
        <v>684</v>
      </c>
    </row>
    <row r="462" spans="1:2" x14ac:dyDescent="0.3">
      <c r="A462" t="s">
        <v>1573</v>
      </c>
      <c r="B462" t="s">
        <v>683</v>
      </c>
    </row>
    <row r="464" spans="1:2" x14ac:dyDescent="0.3">
      <c r="A464" t="s">
        <v>1704</v>
      </c>
    </row>
    <row r="465" spans="1:2" x14ac:dyDescent="0.3">
      <c r="A465" t="s">
        <v>1568</v>
      </c>
      <c r="B465" t="s">
        <v>1705</v>
      </c>
    </row>
    <row r="466" spans="1:2" x14ac:dyDescent="0.3">
      <c r="A466" t="s">
        <v>1570</v>
      </c>
      <c r="B466" t="s">
        <v>687</v>
      </c>
    </row>
    <row r="467" spans="1:2" x14ac:dyDescent="0.3">
      <c r="A467" t="s">
        <v>1571</v>
      </c>
      <c r="B467" t="s">
        <v>689</v>
      </c>
    </row>
    <row r="468" spans="1:2" x14ac:dyDescent="0.3">
      <c r="A468" t="s">
        <v>1572</v>
      </c>
      <c r="B468" t="s">
        <v>691</v>
      </c>
    </row>
    <row r="469" spans="1:2" x14ac:dyDescent="0.3">
      <c r="A469" t="s">
        <v>1573</v>
      </c>
      <c r="B469" t="s">
        <v>690</v>
      </c>
    </row>
    <row r="471" spans="1:2" x14ac:dyDescent="0.3">
      <c r="A471" t="s">
        <v>1706</v>
      </c>
    </row>
    <row r="472" spans="1:2" x14ac:dyDescent="0.3">
      <c r="A472" t="s">
        <v>1568</v>
      </c>
      <c r="B472" t="s">
        <v>1707</v>
      </c>
    </row>
    <row r="473" spans="1:2" x14ac:dyDescent="0.3">
      <c r="A473" t="s">
        <v>1570</v>
      </c>
      <c r="B473" t="s">
        <v>695</v>
      </c>
    </row>
    <row r="474" spans="1:2" x14ac:dyDescent="0.3">
      <c r="A474" t="s">
        <v>1571</v>
      </c>
      <c r="B474" t="s">
        <v>698</v>
      </c>
    </row>
    <row r="475" spans="1:2" x14ac:dyDescent="0.3">
      <c r="A475" t="s">
        <v>1572</v>
      </c>
      <c r="B475" t="s">
        <v>700</v>
      </c>
    </row>
    <row r="476" spans="1:2" x14ac:dyDescent="0.3">
      <c r="A476" t="s">
        <v>1573</v>
      </c>
      <c r="B476" t="s">
        <v>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1"/>
  <sheetViews>
    <sheetView workbookViewId="0"/>
  </sheetViews>
  <sheetFormatPr defaultRowHeight="14.4" x14ac:dyDescent="0.3"/>
  <sheetData>
    <row r="1" spans="1:10" x14ac:dyDescent="0.3">
      <c r="A1" t="s">
        <v>1708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</row>
    <row r="2" spans="1:10" x14ac:dyDescent="0.3">
      <c r="A2" t="s">
        <v>624</v>
      </c>
      <c r="B2" t="s">
        <v>625</v>
      </c>
      <c r="C2" t="s">
        <v>626</v>
      </c>
      <c r="D2" t="s">
        <v>627</v>
      </c>
      <c r="E2" t="s">
        <v>628</v>
      </c>
      <c r="F2" t="s">
        <v>629</v>
      </c>
      <c r="G2" t="s">
        <v>630</v>
      </c>
      <c r="H2" t="s">
        <v>631</v>
      </c>
      <c r="I2" t="s">
        <v>632</v>
      </c>
      <c r="J2" t="s">
        <v>633</v>
      </c>
    </row>
    <row r="3" spans="1:10" x14ac:dyDescent="0.3">
      <c r="A3" t="s">
        <v>147</v>
      </c>
      <c r="B3" t="s">
        <v>1067</v>
      </c>
      <c r="C3" t="s">
        <v>1035</v>
      </c>
      <c r="D3" t="s">
        <v>1068</v>
      </c>
      <c r="E3" t="s">
        <v>1069</v>
      </c>
      <c r="F3" t="s">
        <v>1070</v>
      </c>
      <c r="G3">
        <v>10</v>
      </c>
      <c r="H3" t="s">
        <v>1071</v>
      </c>
      <c r="I3" t="s">
        <v>1072</v>
      </c>
      <c r="J3" t="s">
        <v>1073</v>
      </c>
    </row>
    <row r="4" spans="1:10" x14ac:dyDescent="0.3">
      <c r="A4" t="s">
        <v>141</v>
      </c>
      <c r="B4" t="s">
        <v>1034</v>
      </c>
      <c r="C4" t="s">
        <v>1035</v>
      </c>
      <c r="D4" t="s">
        <v>1036</v>
      </c>
      <c r="E4" t="s">
        <v>1037</v>
      </c>
      <c r="F4" t="s">
        <v>873</v>
      </c>
      <c r="G4">
        <v>8</v>
      </c>
      <c r="H4" t="s">
        <v>1038</v>
      </c>
      <c r="I4" t="s">
        <v>1039</v>
      </c>
      <c r="J4" t="s">
        <v>1040</v>
      </c>
    </row>
    <row r="5" spans="1:10" x14ac:dyDescent="0.3">
      <c r="A5" t="s">
        <v>144</v>
      </c>
      <c r="B5" t="s">
        <v>1048</v>
      </c>
      <c r="C5" t="s">
        <v>1049</v>
      </c>
      <c r="D5" t="s">
        <v>1050</v>
      </c>
      <c r="E5" t="s">
        <v>1051</v>
      </c>
      <c r="F5" t="s">
        <v>1052</v>
      </c>
      <c r="G5">
        <v>5</v>
      </c>
      <c r="H5" t="s">
        <v>1053</v>
      </c>
      <c r="I5" t="s">
        <v>1054</v>
      </c>
      <c r="J5" t="s">
        <v>1055</v>
      </c>
    </row>
    <row r="6" spans="1:10" x14ac:dyDescent="0.3">
      <c r="A6" t="s">
        <v>152</v>
      </c>
      <c r="B6" t="s">
        <v>884</v>
      </c>
      <c r="C6" t="s">
        <v>1088</v>
      </c>
      <c r="D6" t="s">
        <v>1089</v>
      </c>
      <c r="E6" t="s">
        <v>1090</v>
      </c>
      <c r="F6" t="s">
        <v>1091</v>
      </c>
      <c r="G6">
        <v>3</v>
      </c>
      <c r="H6" t="s">
        <v>1092</v>
      </c>
      <c r="I6" t="s">
        <v>1093</v>
      </c>
      <c r="J6" t="s">
        <v>1094</v>
      </c>
    </row>
    <row r="7" spans="1:10" x14ac:dyDescent="0.3">
      <c r="A7" t="s">
        <v>149</v>
      </c>
      <c r="B7" t="s">
        <v>1074</v>
      </c>
      <c r="C7" t="s">
        <v>1075</v>
      </c>
      <c r="D7" t="s">
        <v>1076</v>
      </c>
      <c r="E7" t="s">
        <v>1077</v>
      </c>
      <c r="F7" t="s">
        <v>640</v>
      </c>
      <c r="G7">
        <v>12</v>
      </c>
      <c r="H7" t="s">
        <v>1078</v>
      </c>
      <c r="I7" t="s">
        <v>1079</v>
      </c>
      <c r="J7" t="s">
        <v>1080</v>
      </c>
    </row>
    <row r="8" spans="1:10" x14ac:dyDescent="0.3">
      <c r="A8" t="s">
        <v>153</v>
      </c>
      <c r="B8" t="s">
        <v>1095</v>
      </c>
      <c r="C8" t="s">
        <v>1035</v>
      </c>
      <c r="D8" t="s">
        <v>1096</v>
      </c>
      <c r="E8" t="s">
        <v>1097</v>
      </c>
      <c r="F8" t="s">
        <v>640</v>
      </c>
      <c r="G8">
        <v>10</v>
      </c>
      <c r="H8" t="s">
        <v>1098</v>
      </c>
      <c r="I8" t="s">
        <v>1099</v>
      </c>
      <c r="J8" t="s">
        <v>1100</v>
      </c>
    </row>
    <row r="9" spans="1:10" x14ac:dyDescent="0.3">
      <c r="A9" t="s">
        <v>115</v>
      </c>
      <c r="B9" t="s">
        <v>861</v>
      </c>
      <c r="C9" t="s">
        <v>862</v>
      </c>
      <c r="D9" t="s">
        <v>863</v>
      </c>
      <c r="E9" t="s">
        <v>864</v>
      </c>
      <c r="F9" t="s">
        <v>865</v>
      </c>
      <c r="G9">
        <v>8</v>
      </c>
      <c r="H9" t="s">
        <v>866</v>
      </c>
      <c r="I9" t="s">
        <v>867</v>
      </c>
      <c r="J9" t="s">
        <v>868</v>
      </c>
    </row>
    <row r="10" spans="1:10" x14ac:dyDescent="0.3">
      <c r="A10" t="s">
        <v>118</v>
      </c>
      <c r="B10" t="s">
        <v>877</v>
      </c>
      <c r="C10" t="s">
        <v>878</v>
      </c>
      <c r="D10" t="s">
        <v>879</v>
      </c>
      <c r="E10" t="s">
        <v>880</v>
      </c>
      <c r="F10" t="s">
        <v>865</v>
      </c>
      <c r="G10">
        <v>10</v>
      </c>
      <c r="H10" t="s">
        <v>881</v>
      </c>
      <c r="I10" t="s">
        <v>882</v>
      </c>
      <c r="J10" t="s">
        <v>883</v>
      </c>
    </row>
    <row r="11" spans="1:10" x14ac:dyDescent="0.3">
      <c r="A11" t="s">
        <v>122</v>
      </c>
      <c r="B11" t="s">
        <v>899</v>
      </c>
      <c r="C11" t="s">
        <v>900</v>
      </c>
      <c r="D11" t="s">
        <v>901</v>
      </c>
      <c r="E11" t="s">
        <v>902</v>
      </c>
      <c r="F11" t="s">
        <v>738</v>
      </c>
      <c r="G11">
        <v>6</v>
      </c>
      <c r="H11" t="s">
        <v>903</v>
      </c>
      <c r="I11" t="s">
        <v>904</v>
      </c>
      <c r="J11" t="s">
        <v>905</v>
      </c>
    </row>
    <row r="12" spans="1:10" x14ac:dyDescent="0.3">
      <c r="A12" t="s">
        <v>125</v>
      </c>
      <c r="B12" t="s">
        <v>922</v>
      </c>
      <c r="C12" t="s">
        <v>923</v>
      </c>
      <c r="D12" t="s">
        <v>924</v>
      </c>
      <c r="E12" t="s">
        <v>925</v>
      </c>
      <c r="F12" t="s">
        <v>790</v>
      </c>
      <c r="G12">
        <v>6</v>
      </c>
      <c r="H12" t="s">
        <v>926</v>
      </c>
      <c r="I12" t="s">
        <v>927</v>
      </c>
      <c r="J12" t="s">
        <v>928</v>
      </c>
    </row>
    <row r="13" spans="1:10" x14ac:dyDescent="0.3">
      <c r="A13" t="s">
        <v>117</v>
      </c>
      <c r="B13" t="s">
        <v>869</v>
      </c>
      <c r="C13" t="s">
        <v>870</v>
      </c>
      <c r="D13" t="s">
        <v>871</v>
      </c>
      <c r="E13" t="s">
        <v>872</v>
      </c>
      <c r="F13" t="s">
        <v>873</v>
      </c>
      <c r="G13">
        <v>5</v>
      </c>
      <c r="H13" t="s">
        <v>874</v>
      </c>
      <c r="I13" t="s">
        <v>875</v>
      </c>
      <c r="J13" t="s">
        <v>876</v>
      </c>
    </row>
    <row r="14" spans="1:10" x14ac:dyDescent="0.3">
      <c r="A14" t="s">
        <v>124</v>
      </c>
      <c r="B14" t="s">
        <v>914</v>
      </c>
      <c r="C14" t="s">
        <v>915</v>
      </c>
      <c r="D14" t="s">
        <v>916</v>
      </c>
      <c r="E14" t="s">
        <v>917</v>
      </c>
      <c r="F14" t="s">
        <v>918</v>
      </c>
      <c r="G14">
        <v>4</v>
      </c>
      <c r="H14" t="s">
        <v>919</v>
      </c>
      <c r="I14" t="s">
        <v>920</v>
      </c>
      <c r="J14" t="s">
        <v>921</v>
      </c>
    </row>
    <row r="15" spans="1:10" x14ac:dyDescent="0.3">
      <c r="A15" t="s">
        <v>123</v>
      </c>
      <c r="B15" t="s">
        <v>906</v>
      </c>
      <c r="C15" t="s">
        <v>907</v>
      </c>
      <c r="D15" t="s">
        <v>908</v>
      </c>
      <c r="E15" t="s">
        <v>909</v>
      </c>
      <c r="F15" t="s">
        <v>910</v>
      </c>
      <c r="G15">
        <v>5</v>
      </c>
      <c r="H15" t="s">
        <v>911</v>
      </c>
      <c r="I15" t="s">
        <v>912</v>
      </c>
      <c r="J15" t="s">
        <v>913</v>
      </c>
    </row>
    <row r="16" spans="1:10" x14ac:dyDescent="0.3">
      <c r="A16" t="s">
        <v>121</v>
      </c>
      <c r="B16" t="s">
        <v>892</v>
      </c>
      <c r="C16" t="s">
        <v>893</v>
      </c>
      <c r="D16" t="s">
        <v>894</v>
      </c>
      <c r="E16" t="s">
        <v>895</v>
      </c>
      <c r="F16" t="s">
        <v>790</v>
      </c>
      <c r="G16">
        <v>4</v>
      </c>
      <c r="H16" t="s">
        <v>896</v>
      </c>
      <c r="I16" t="s">
        <v>897</v>
      </c>
      <c r="J16" t="s">
        <v>898</v>
      </c>
    </row>
    <row r="17" spans="1:10" x14ac:dyDescent="0.3">
      <c r="A17" t="s">
        <v>93</v>
      </c>
      <c r="B17" t="s">
        <v>718</v>
      </c>
      <c r="C17" t="s">
        <v>719</v>
      </c>
      <c r="D17" t="s">
        <v>720</v>
      </c>
      <c r="E17" t="s">
        <v>721</v>
      </c>
      <c r="F17" t="s">
        <v>722</v>
      </c>
      <c r="G17">
        <v>4</v>
      </c>
      <c r="H17" t="s">
        <v>723</v>
      </c>
      <c r="I17" t="s">
        <v>724</v>
      </c>
      <c r="J17" t="s">
        <v>725</v>
      </c>
    </row>
    <row r="18" spans="1:10" x14ac:dyDescent="0.3">
      <c r="A18" t="s">
        <v>102</v>
      </c>
      <c r="B18" t="s">
        <v>786</v>
      </c>
      <c r="C18" t="s">
        <v>787</v>
      </c>
      <c r="D18" t="s">
        <v>788</v>
      </c>
      <c r="E18" t="s">
        <v>789</v>
      </c>
      <c r="F18" t="s">
        <v>790</v>
      </c>
      <c r="G18">
        <v>3</v>
      </c>
      <c r="H18" t="s">
        <v>791</v>
      </c>
      <c r="I18" t="s">
        <v>792</v>
      </c>
      <c r="J18" t="s">
        <v>793</v>
      </c>
    </row>
    <row r="19" spans="1:10" x14ac:dyDescent="0.3">
      <c r="A19" t="s">
        <v>112</v>
      </c>
      <c r="B19" t="s">
        <v>847</v>
      </c>
      <c r="C19" t="s">
        <v>751</v>
      </c>
      <c r="D19" t="s">
        <v>848</v>
      </c>
      <c r="E19" t="s">
        <v>849</v>
      </c>
      <c r="F19" t="s">
        <v>754</v>
      </c>
      <c r="G19">
        <v>20</v>
      </c>
      <c r="H19" t="s">
        <v>850</v>
      </c>
      <c r="I19" t="s">
        <v>851</v>
      </c>
      <c r="J19" t="s">
        <v>852</v>
      </c>
    </row>
    <row r="20" spans="1:10" x14ac:dyDescent="0.3">
      <c r="A20" t="s">
        <v>97</v>
      </c>
      <c r="B20" t="s">
        <v>750</v>
      </c>
      <c r="C20" t="s">
        <v>751</v>
      </c>
      <c r="D20" t="s">
        <v>752</v>
      </c>
      <c r="E20" t="s">
        <v>753</v>
      </c>
      <c r="F20" t="s">
        <v>754</v>
      </c>
      <c r="G20">
        <v>25</v>
      </c>
      <c r="H20" t="s">
        <v>755</v>
      </c>
      <c r="I20" t="s">
        <v>756</v>
      </c>
      <c r="J20" t="s">
        <v>757</v>
      </c>
    </row>
    <row r="21" spans="1:10" x14ac:dyDescent="0.3">
      <c r="A21" t="s">
        <v>109</v>
      </c>
      <c r="B21" t="s">
        <v>831</v>
      </c>
      <c r="C21" t="s">
        <v>832</v>
      </c>
      <c r="D21" t="s">
        <v>833</v>
      </c>
      <c r="E21" t="s">
        <v>834</v>
      </c>
      <c r="F21" t="s">
        <v>754</v>
      </c>
      <c r="G21">
        <v>10</v>
      </c>
      <c r="H21" t="s">
        <v>835</v>
      </c>
      <c r="I21" t="s">
        <v>836</v>
      </c>
      <c r="J21" t="s">
        <v>837</v>
      </c>
    </row>
    <row r="22" spans="1:10" x14ac:dyDescent="0.3">
      <c r="A22" t="s">
        <v>103</v>
      </c>
      <c r="B22" t="s">
        <v>794</v>
      </c>
      <c r="C22" t="s">
        <v>795</v>
      </c>
      <c r="D22" t="s">
        <v>796</v>
      </c>
      <c r="E22" t="s">
        <v>797</v>
      </c>
      <c r="F22" t="s">
        <v>798</v>
      </c>
      <c r="G22">
        <v>12</v>
      </c>
      <c r="H22" t="s">
        <v>799</v>
      </c>
      <c r="I22" t="s">
        <v>800</v>
      </c>
      <c r="J22" t="s">
        <v>801</v>
      </c>
    </row>
    <row r="23" spans="1:10" x14ac:dyDescent="0.3">
      <c r="A23" t="s">
        <v>130</v>
      </c>
      <c r="B23" t="s">
        <v>956</v>
      </c>
      <c r="C23" t="s">
        <v>957</v>
      </c>
      <c r="D23" t="s">
        <v>958</v>
      </c>
      <c r="E23" t="s">
        <v>959</v>
      </c>
      <c r="F23" t="s">
        <v>738</v>
      </c>
      <c r="G23">
        <v>25</v>
      </c>
      <c r="H23" t="s">
        <v>960</v>
      </c>
      <c r="I23" t="s">
        <v>961</v>
      </c>
      <c r="J23" t="s">
        <v>962</v>
      </c>
    </row>
    <row r="24" spans="1:10" x14ac:dyDescent="0.3">
      <c r="A24" t="s">
        <v>127</v>
      </c>
      <c r="B24" t="s">
        <v>937</v>
      </c>
      <c r="C24" t="s">
        <v>938</v>
      </c>
      <c r="D24" t="s">
        <v>939</v>
      </c>
      <c r="E24" t="s">
        <v>940</v>
      </c>
      <c r="F24" t="s">
        <v>640</v>
      </c>
      <c r="G24">
        <v>20</v>
      </c>
      <c r="H24" t="s">
        <v>941</v>
      </c>
      <c r="I24" t="s">
        <v>942</v>
      </c>
      <c r="J24" t="s">
        <v>943</v>
      </c>
    </row>
    <row r="25" spans="1:10" x14ac:dyDescent="0.3">
      <c r="A25" t="s">
        <v>134</v>
      </c>
      <c r="B25" t="s">
        <v>978</v>
      </c>
      <c r="C25" t="s">
        <v>957</v>
      </c>
      <c r="D25" t="s">
        <v>985</v>
      </c>
      <c r="E25" t="s">
        <v>986</v>
      </c>
      <c r="F25" t="s">
        <v>738</v>
      </c>
      <c r="G25">
        <v>20</v>
      </c>
      <c r="H25" t="s">
        <v>987</v>
      </c>
      <c r="I25" t="s">
        <v>988</v>
      </c>
      <c r="J25" t="s">
        <v>989</v>
      </c>
    </row>
    <row r="26" spans="1:10" x14ac:dyDescent="0.3">
      <c r="A26" t="s">
        <v>140</v>
      </c>
      <c r="B26" t="s">
        <v>1026</v>
      </c>
      <c r="C26" t="s">
        <v>1027</v>
      </c>
      <c r="D26" t="s">
        <v>1028</v>
      </c>
      <c r="E26" t="s">
        <v>1029</v>
      </c>
      <c r="F26" t="s">
        <v>722</v>
      </c>
      <c r="G26">
        <v>15</v>
      </c>
      <c r="H26" t="s">
        <v>1030</v>
      </c>
      <c r="I26" t="s">
        <v>1031</v>
      </c>
      <c r="J26" t="s">
        <v>1032</v>
      </c>
    </row>
    <row r="27" spans="1:10" x14ac:dyDescent="0.3">
      <c r="A27" t="s">
        <v>135</v>
      </c>
      <c r="B27" t="s">
        <v>990</v>
      </c>
      <c r="C27" t="s">
        <v>991</v>
      </c>
      <c r="D27" t="s">
        <v>992</v>
      </c>
      <c r="E27" t="s">
        <v>993</v>
      </c>
      <c r="F27" t="s">
        <v>994</v>
      </c>
      <c r="G27">
        <v>35</v>
      </c>
      <c r="H27" t="s">
        <v>995</v>
      </c>
      <c r="I27" t="s">
        <v>996</v>
      </c>
      <c r="J27" t="s">
        <v>997</v>
      </c>
    </row>
    <row r="28" spans="1:10" x14ac:dyDescent="0.3">
      <c r="A28" t="s">
        <v>95</v>
      </c>
      <c r="B28" t="s">
        <v>734</v>
      </c>
      <c r="C28" t="s">
        <v>735</v>
      </c>
      <c r="D28" t="s">
        <v>736</v>
      </c>
      <c r="E28" t="s">
        <v>737</v>
      </c>
      <c r="F28" t="s">
        <v>738</v>
      </c>
      <c r="G28">
        <v>40</v>
      </c>
      <c r="H28" t="s">
        <v>739</v>
      </c>
      <c r="I28" t="s">
        <v>740</v>
      </c>
      <c r="J28" t="s">
        <v>741</v>
      </c>
    </row>
    <row r="29" spans="1:10" x14ac:dyDescent="0.3">
      <c r="A29" t="s">
        <v>90</v>
      </c>
      <c r="B29" t="s">
        <v>693</v>
      </c>
      <c r="C29" t="s">
        <v>694</v>
      </c>
      <c r="D29" t="s">
        <v>695</v>
      </c>
      <c r="E29" t="s">
        <v>696</v>
      </c>
      <c r="F29" t="s">
        <v>697</v>
      </c>
      <c r="G29">
        <v>1</v>
      </c>
      <c r="H29" t="s">
        <v>698</v>
      </c>
      <c r="I29" t="s">
        <v>699</v>
      </c>
      <c r="J29" t="s">
        <v>700</v>
      </c>
    </row>
    <row r="30" spans="1:10" x14ac:dyDescent="0.3">
      <c r="A30" t="s">
        <v>94</v>
      </c>
      <c r="B30" t="s">
        <v>726</v>
      </c>
      <c r="C30" t="s">
        <v>727</v>
      </c>
      <c r="D30" t="s">
        <v>728</v>
      </c>
      <c r="E30" t="s">
        <v>729</v>
      </c>
      <c r="F30" t="s">
        <v>730</v>
      </c>
      <c r="G30">
        <v>8</v>
      </c>
      <c r="H30" t="s">
        <v>731</v>
      </c>
      <c r="I30" t="s">
        <v>732</v>
      </c>
      <c r="J30" t="s">
        <v>733</v>
      </c>
    </row>
    <row r="31" spans="1:10" x14ac:dyDescent="0.3">
      <c r="A31" t="s">
        <v>100</v>
      </c>
      <c r="B31" t="s">
        <v>772</v>
      </c>
      <c r="C31" t="s">
        <v>773</v>
      </c>
      <c r="D31" t="s">
        <v>774</v>
      </c>
      <c r="E31" t="s">
        <v>775</v>
      </c>
      <c r="F31" t="s">
        <v>649</v>
      </c>
      <c r="G31">
        <v>10</v>
      </c>
      <c r="H31" t="s">
        <v>776</v>
      </c>
      <c r="I31" t="s">
        <v>777</v>
      </c>
      <c r="J31" t="s">
        <v>778</v>
      </c>
    </row>
    <row r="32" spans="1:10" x14ac:dyDescent="0.3">
      <c r="A32" t="s">
        <v>87</v>
      </c>
      <c r="B32" t="s">
        <v>678</v>
      </c>
      <c r="C32" t="s">
        <v>679</v>
      </c>
      <c r="D32" t="s">
        <v>680</v>
      </c>
      <c r="E32" t="s">
        <v>681</v>
      </c>
      <c r="F32" t="s">
        <v>649</v>
      </c>
      <c r="G32">
        <v>8</v>
      </c>
      <c r="H32" t="s">
        <v>682</v>
      </c>
      <c r="I32" t="s">
        <v>683</v>
      </c>
      <c r="J32" t="s">
        <v>684</v>
      </c>
    </row>
    <row r="33" spans="1:10" x14ac:dyDescent="0.3">
      <c r="A33" t="s">
        <v>81</v>
      </c>
      <c r="B33" t="s">
        <v>636</v>
      </c>
      <c r="C33" t="s">
        <v>637</v>
      </c>
      <c r="D33" t="s">
        <v>638</v>
      </c>
      <c r="E33" t="s">
        <v>639</v>
      </c>
      <c r="F33" t="s">
        <v>640</v>
      </c>
      <c r="G33">
        <v>5</v>
      </c>
      <c r="H33" t="s">
        <v>641</v>
      </c>
      <c r="I33" t="s">
        <v>642</v>
      </c>
      <c r="J33" t="s">
        <v>643</v>
      </c>
    </row>
    <row r="34" spans="1:10" x14ac:dyDescent="0.3">
      <c r="A34" t="s">
        <v>83</v>
      </c>
      <c r="B34" t="s">
        <v>645</v>
      </c>
      <c r="C34" t="s">
        <v>646</v>
      </c>
      <c r="D34" t="s">
        <v>647</v>
      </c>
      <c r="E34" t="s">
        <v>648</v>
      </c>
      <c r="F34" t="s">
        <v>649</v>
      </c>
      <c r="G34">
        <v>0.5</v>
      </c>
      <c r="H34" t="s">
        <v>650</v>
      </c>
      <c r="I34" t="s">
        <v>651</v>
      </c>
      <c r="J34" t="s">
        <v>652</v>
      </c>
    </row>
    <row r="35" spans="1:10" x14ac:dyDescent="0.3">
      <c r="A35" t="s">
        <v>99</v>
      </c>
      <c r="B35" t="s">
        <v>765</v>
      </c>
      <c r="C35" t="s">
        <v>766</v>
      </c>
      <c r="D35" t="s">
        <v>767</v>
      </c>
      <c r="E35" t="s">
        <v>768</v>
      </c>
      <c r="F35" t="s">
        <v>730</v>
      </c>
      <c r="G35">
        <v>2</v>
      </c>
      <c r="H35" t="s">
        <v>769</v>
      </c>
      <c r="I35" t="s">
        <v>770</v>
      </c>
      <c r="J35" t="s">
        <v>1709</v>
      </c>
    </row>
    <row r="36" spans="1:10" x14ac:dyDescent="0.3">
      <c r="A36" t="s">
        <v>1710</v>
      </c>
      <c r="B36" t="s">
        <v>1711</v>
      </c>
      <c r="C36" t="s">
        <v>766</v>
      </c>
      <c r="D36" t="s">
        <v>1712</v>
      </c>
      <c r="E36" t="s">
        <v>1713</v>
      </c>
      <c r="F36" t="s">
        <v>730</v>
      </c>
      <c r="G36">
        <v>2</v>
      </c>
      <c r="H36" t="s">
        <v>1714</v>
      </c>
      <c r="I36" t="s">
        <v>1715</v>
      </c>
      <c r="J36" t="s">
        <v>1716</v>
      </c>
    </row>
    <row r="37" spans="1:10" x14ac:dyDescent="0.3">
      <c r="A37" t="s">
        <v>85</v>
      </c>
      <c r="B37" t="s">
        <v>661</v>
      </c>
      <c r="C37" t="s">
        <v>662</v>
      </c>
      <c r="D37" t="s">
        <v>663</v>
      </c>
      <c r="E37" t="s">
        <v>664</v>
      </c>
      <c r="F37" t="s">
        <v>665</v>
      </c>
      <c r="G37">
        <v>2</v>
      </c>
      <c r="H37" t="s">
        <v>666</v>
      </c>
      <c r="I37" t="s">
        <v>667</v>
      </c>
      <c r="J37" t="s">
        <v>668</v>
      </c>
    </row>
    <row r="38" spans="1:10" x14ac:dyDescent="0.3">
      <c r="A38" t="s">
        <v>84</v>
      </c>
      <c r="B38" t="s">
        <v>653</v>
      </c>
      <c r="C38" t="s">
        <v>654</v>
      </c>
      <c r="D38" t="s">
        <v>655</v>
      </c>
      <c r="E38" t="s">
        <v>656</v>
      </c>
      <c r="F38" t="s">
        <v>657</v>
      </c>
      <c r="G38">
        <v>2</v>
      </c>
      <c r="H38" t="s">
        <v>658</v>
      </c>
      <c r="I38" t="s">
        <v>659</v>
      </c>
      <c r="J38" t="s">
        <v>660</v>
      </c>
    </row>
    <row r="39" spans="1:10" x14ac:dyDescent="0.3">
      <c r="A39" t="s">
        <v>129</v>
      </c>
      <c r="B39" t="s">
        <v>944</v>
      </c>
      <c r="C39" t="s">
        <v>945</v>
      </c>
      <c r="D39" t="s">
        <v>951</v>
      </c>
      <c r="E39" t="s">
        <v>952</v>
      </c>
      <c r="F39" t="s">
        <v>730</v>
      </c>
      <c r="G39">
        <v>30</v>
      </c>
      <c r="H39" t="s">
        <v>953</v>
      </c>
      <c r="I39" t="s">
        <v>954</v>
      </c>
      <c r="J39" t="s">
        <v>955</v>
      </c>
    </row>
    <row r="40" spans="1:10" x14ac:dyDescent="0.3">
      <c r="A40" t="s">
        <v>128</v>
      </c>
      <c r="B40" t="s">
        <v>944</v>
      </c>
      <c r="C40" t="s">
        <v>945</v>
      </c>
      <c r="D40" t="s">
        <v>946</v>
      </c>
      <c r="E40" t="s">
        <v>947</v>
      </c>
      <c r="F40" t="s">
        <v>730</v>
      </c>
      <c r="G40">
        <v>35</v>
      </c>
      <c r="H40" t="s">
        <v>948</v>
      </c>
      <c r="I40" t="s">
        <v>949</v>
      </c>
      <c r="J40" t="s">
        <v>950</v>
      </c>
    </row>
    <row r="41" spans="1:10" x14ac:dyDescent="0.3">
      <c r="A41" t="s">
        <v>132</v>
      </c>
      <c r="B41" t="s">
        <v>971</v>
      </c>
      <c r="C41" t="s">
        <v>972</v>
      </c>
      <c r="D41" t="s">
        <v>973</v>
      </c>
      <c r="E41" t="s">
        <v>974</v>
      </c>
      <c r="F41" t="s">
        <v>730</v>
      </c>
      <c r="G41">
        <v>10</v>
      </c>
      <c r="H41" t="s">
        <v>975</v>
      </c>
      <c r="I41" t="s">
        <v>976</v>
      </c>
      <c r="J41" t="s">
        <v>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/>
  </sheetViews>
  <sheetFormatPr defaultRowHeight="14.4" x14ac:dyDescent="0.3"/>
  <sheetData>
    <row r="1" spans="1:2" x14ac:dyDescent="0.3">
      <c r="A1" t="s">
        <v>1717</v>
      </c>
      <c r="B1" t="s">
        <v>612</v>
      </c>
    </row>
    <row r="3" spans="1:2" x14ac:dyDescent="0.3">
      <c r="A3" t="s">
        <v>1718</v>
      </c>
      <c r="B3" t="s">
        <v>1719</v>
      </c>
    </row>
    <row r="4" spans="1:2" x14ac:dyDescent="0.3">
      <c r="A4" t="s">
        <v>1720</v>
      </c>
      <c r="B4" t="s">
        <v>1721</v>
      </c>
    </row>
    <row r="5" spans="1:2" x14ac:dyDescent="0.3">
      <c r="A5" t="s">
        <v>1722</v>
      </c>
      <c r="B5" t="s">
        <v>1723</v>
      </c>
    </row>
    <row r="6" spans="1:2" x14ac:dyDescent="0.3">
      <c r="A6" t="s">
        <v>1724</v>
      </c>
      <c r="B6" t="s">
        <v>1725</v>
      </c>
    </row>
    <row r="7" spans="1:2" x14ac:dyDescent="0.3">
      <c r="A7" t="s">
        <v>1726</v>
      </c>
      <c r="B7" t="s">
        <v>1727</v>
      </c>
    </row>
    <row r="8" spans="1:2" x14ac:dyDescent="0.3">
      <c r="A8" t="s">
        <v>1728</v>
      </c>
      <c r="B8" t="s">
        <v>1729</v>
      </c>
    </row>
    <row r="9" spans="1:2" x14ac:dyDescent="0.3">
      <c r="A9" t="s">
        <v>1730</v>
      </c>
      <c r="B9" t="s">
        <v>1731</v>
      </c>
    </row>
    <row r="11" spans="1:2" x14ac:dyDescent="0.3">
      <c r="A11" t="s">
        <v>1732</v>
      </c>
      <c r="B11" t="s">
        <v>1733</v>
      </c>
    </row>
    <row r="12" spans="1:2" x14ac:dyDescent="0.3">
      <c r="A12" t="s">
        <v>1734</v>
      </c>
      <c r="B12" t="s">
        <v>1735</v>
      </c>
    </row>
    <row r="14" spans="1:2" x14ac:dyDescent="0.3">
      <c r="A14" t="s">
        <v>1736</v>
      </c>
      <c r="B14" t="s">
        <v>1737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2"/>
  <sheetViews>
    <sheetView workbookViewId="0"/>
  </sheetViews>
  <sheetFormatPr defaultRowHeight="14.4" x14ac:dyDescent="0.3"/>
  <sheetData>
    <row r="1" spans="1:10" x14ac:dyDescent="0.3">
      <c r="A1" t="s">
        <v>1738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</row>
    <row r="2" spans="1:10" x14ac:dyDescent="0.3">
      <c r="A2" t="s">
        <v>624</v>
      </c>
      <c r="B2" t="s">
        <v>625</v>
      </c>
      <c r="C2" t="s">
        <v>626</v>
      </c>
      <c r="D2" t="s">
        <v>627</v>
      </c>
      <c r="E2" t="s">
        <v>628</v>
      </c>
      <c r="F2" t="s">
        <v>629</v>
      </c>
      <c r="G2" t="s">
        <v>630</v>
      </c>
      <c r="H2" t="s">
        <v>631</v>
      </c>
      <c r="I2" t="s">
        <v>632</v>
      </c>
      <c r="J2" t="s">
        <v>633</v>
      </c>
    </row>
    <row r="3" spans="1:10" x14ac:dyDescent="0.3">
      <c r="A3" t="s">
        <v>145</v>
      </c>
      <c r="B3" t="s">
        <v>1048</v>
      </c>
      <c r="C3" t="s">
        <v>1056</v>
      </c>
      <c r="D3" t="s">
        <v>1057</v>
      </c>
      <c r="E3" t="s">
        <v>1043</v>
      </c>
      <c r="F3" t="s">
        <v>640</v>
      </c>
      <c r="G3">
        <v>12</v>
      </c>
      <c r="H3" t="s">
        <v>1058</v>
      </c>
      <c r="I3" t="s">
        <v>1059</v>
      </c>
      <c r="J3" t="s">
        <v>1060</v>
      </c>
    </row>
    <row r="4" spans="1:10" x14ac:dyDescent="0.3">
      <c r="A4" t="s">
        <v>120</v>
      </c>
      <c r="B4" t="s">
        <v>884</v>
      </c>
      <c r="C4" t="s">
        <v>885</v>
      </c>
      <c r="D4" t="s">
        <v>886</v>
      </c>
      <c r="E4" t="s">
        <v>887</v>
      </c>
      <c r="F4" t="s">
        <v>888</v>
      </c>
      <c r="G4">
        <v>8</v>
      </c>
      <c r="H4" t="s">
        <v>889</v>
      </c>
      <c r="I4" t="s">
        <v>890</v>
      </c>
      <c r="J4" t="s">
        <v>891</v>
      </c>
    </row>
    <row r="5" spans="1:10" x14ac:dyDescent="0.3">
      <c r="A5" t="s">
        <v>136</v>
      </c>
      <c r="B5" t="s">
        <v>998</v>
      </c>
      <c r="C5" t="s">
        <v>999</v>
      </c>
      <c r="D5" t="s">
        <v>1000</v>
      </c>
      <c r="E5" t="s">
        <v>1001</v>
      </c>
      <c r="F5" t="s">
        <v>697</v>
      </c>
      <c r="G5">
        <v>25</v>
      </c>
      <c r="H5" t="s">
        <v>1002</v>
      </c>
      <c r="I5" t="s">
        <v>1003</v>
      </c>
      <c r="J5" t="s">
        <v>1004</v>
      </c>
    </row>
    <row r="6" spans="1:10" x14ac:dyDescent="0.3">
      <c r="A6" t="s">
        <v>131</v>
      </c>
      <c r="B6" t="s">
        <v>963</v>
      </c>
      <c r="C6" t="s">
        <v>964</v>
      </c>
      <c r="D6" t="s">
        <v>965</v>
      </c>
      <c r="E6" t="s">
        <v>966</v>
      </c>
      <c r="F6" t="s">
        <v>967</v>
      </c>
      <c r="G6">
        <v>35</v>
      </c>
      <c r="H6" t="s">
        <v>968</v>
      </c>
      <c r="I6" t="s">
        <v>969</v>
      </c>
      <c r="J6" t="s">
        <v>970</v>
      </c>
    </row>
    <row r="7" spans="1:10" x14ac:dyDescent="0.3">
      <c r="A7" t="s">
        <v>104</v>
      </c>
      <c r="B7" t="s">
        <v>802</v>
      </c>
      <c r="C7" t="s">
        <v>803</v>
      </c>
      <c r="D7" t="s">
        <v>804</v>
      </c>
      <c r="E7" t="s">
        <v>805</v>
      </c>
      <c r="F7" t="s">
        <v>806</v>
      </c>
      <c r="G7">
        <v>15</v>
      </c>
      <c r="H7" t="s">
        <v>807</v>
      </c>
      <c r="I7" t="s">
        <v>808</v>
      </c>
      <c r="J7" t="s">
        <v>1739</v>
      </c>
    </row>
    <row r="8" spans="1:10" x14ac:dyDescent="0.3">
      <c r="A8" t="s">
        <v>143</v>
      </c>
      <c r="B8" t="s">
        <v>1034</v>
      </c>
      <c r="C8" t="s">
        <v>1041</v>
      </c>
      <c r="D8" t="s">
        <v>1042</v>
      </c>
      <c r="E8" t="s">
        <v>1043</v>
      </c>
      <c r="F8" t="s">
        <v>1044</v>
      </c>
      <c r="G8">
        <v>10</v>
      </c>
      <c r="H8" t="s">
        <v>1045</v>
      </c>
      <c r="I8" t="s">
        <v>1046</v>
      </c>
      <c r="J8" t="s">
        <v>1047</v>
      </c>
    </row>
    <row r="9" spans="1:10" x14ac:dyDescent="0.3">
      <c r="A9" t="s">
        <v>86</v>
      </c>
      <c r="B9" t="s">
        <v>669</v>
      </c>
      <c r="C9" t="s">
        <v>670</v>
      </c>
      <c r="D9" t="s">
        <v>671</v>
      </c>
      <c r="E9" t="s">
        <v>672</v>
      </c>
      <c r="F9" t="s">
        <v>673</v>
      </c>
      <c r="G9">
        <v>5</v>
      </c>
      <c r="H9" t="s">
        <v>674</v>
      </c>
      <c r="I9" t="s">
        <v>675</v>
      </c>
      <c r="J9" t="s">
        <v>676</v>
      </c>
    </row>
    <row r="10" spans="1:10" x14ac:dyDescent="0.3">
      <c r="A10" t="s">
        <v>151</v>
      </c>
      <c r="B10" t="s">
        <v>1081</v>
      </c>
      <c r="C10" t="s">
        <v>1082</v>
      </c>
      <c r="D10" t="s">
        <v>1083</v>
      </c>
      <c r="E10" t="s">
        <v>713</v>
      </c>
      <c r="F10" t="s">
        <v>1084</v>
      </c>
      <c r="G10">
        <v>20</v>
      </c>
      <c r="H10" t="s">
        <v>1085</v>
      </c>
      <c r="I10" t="s">
        <v>1086</v>
      </c>
      <c r="J10" t="s">
        <v>1087</v>
      </c>
    </row>
    <row r="11" spans="1:10" x14ac:dyDescent="0.3">
      <c r="A11" t="s">
        <v>98</v>
      </c>
      <c r="B11" t="s">
        <v>758</v>
      </c>
      <c r="C11" t="s">
        <v>759</v>
      </c>
      <c r="D11" t="s">
        <v>760</v>
      </c>
      <c r="E11" t="s">
        <v>761</v>
      </c>
      <c r="F11" t="s">
        <v>706</v>
      </c>
      <c r="G11">
        <v>8</v>
      </c>
      <c r="H11" t="s">
        <v>762</v>
      </c>
      <c r="I11" t="s">
        <v>763</v>
      </c>
      <c r="J11" t="s">
        <v>764</v>
      </c>
    </row>
    <row r="12" spans="1:10" x14ac:dyDescent="0.3">
      <c r="A12" t="s">
        <v>108</v>
      </c>
      <c r="B12" t="s">
        <v>824</v>
      </c>
      <c r="C12" t="s">
        <v>825</v>
      </c>
      <c r="D12" t="s">
        <v>826</v>
      </c>
      <c r="E12" t="s">
        <v>827</v>
      </c>
      <c r="F12" t="s">
        <v>722</v>
      </c>
      <c r="G12">
        <v>12</v>
      </c>
      <c r="H12" t="s">
        <v>828</v>
      </c>
      <c r="I12" t="s">
        <v>829</v>
      </c>
      <c r="J12" t="s">
        <v>830</v>
      </c>
    </row>
    <row r="13" spans="1:10" x14ac:dyDescent="0.3">
      <c r="A13" t="s">
        <v>110</v>
      </c>
      <c r="B13" t="s">
        <v>1740</v>
      </c>
      <c r="C13" t="s">
        <v>839</v>
      </c>
      <c r="D13" t="s">
        <v>840</v>
      </c>
      <c r="E13" t="s">
        <v>841</v>
      </c>
      <c r="F13" t="s">
        <v>842</v>
      </c>
      <c r="G13">
        <v>30</v>
      </c>
      <c r="H13" t="s">
        <v>968</v>
      </c>
      <c r="I13" t="s">
        <v>1657</v>
      </c>
      <c r="J13" t="s">
        <v>1656</v>
      </c>
    </row>
    <row r="14" spans="1:10" x14ac:dyDescent="0.3">
      <c r="A14" t="s">
        <v>146</v>
      </c>
      <c r="B14" t="s">
        <v>1061</v>
      </c>
      <c r="C14" t="s">
        <v>1062</v>
      </c>
      <c r="D14" t="s">
        <v>1063</v>
      </c>
      <c r="E14" t="s">
        <v>887</v>
      </c>
      <c r="F14" t="s">
        <v>842</v>
      </c>
      <c r="G14">
        <v>6</v>
      </c>
      <c r="H14" t="s">
        <v>1064</v>
      </c>
      <c r="I14" t="s">
        <v>1065</v>
      </c>
      <c r="J14" t="s">
        <v>1066</v>
      </c>
    </row>
    <row r="15" spans="1:10" x14ac:dyDescent="0.3">
      <c r="A15" t="s">
        <v>91</v>
      </c>
      <c r="B15" t="s">
        <v>702</v>
      </c>
      <c r="C15" t="s">
        <v>703</v>
      </c>
      <c r="D15" t="s">
        <v>704</v>
      </c>
      <c r="E15" t="s">
        <v>705</v>
      </c>
      <c r="F15" t="s">
        <v>706</v>
      </c>
      <c r="G15">
        <v>3</v>
      </c>
      <c r="H15" t="s">
        <v>707</v>
      </c>
      <c r="I15" t="s">
        <v>708</v>
      </c>
      <c r="J15" t="s">
        <v>709</v>
      </c>
    </row>
    <row r="16" spans="1:10" x14ac:dyDescent="0.3">
      <c r="A16" t="s">
        <v>101</v>
      </c>
      <c r="B16" t="s">
        <v>779</v>
      </c>
      <c r="C16" t="s">
        <v>780</v>
      </c>
      <c r="D16" t="s">
        <v>781</v>
      </c>
      <c r="E16" t="s">
        <v>782</v>
      </c>
      <c r="F16" t="s">
        <v>697</v>
      </c>
      <c r="G16">
        <v>4</v>
      </c>
      <c r="H16" t="s">
        <v>783</v>
      </c>
      <c r="I16" t="s">
        <v>784</v>
      </c>
      <c r="J16" t="s">
        <v>785</v>
      </c>
    </row>
    <row r="17" spans="1:10" x14ac:dyDescent="0.3">
      <c r="A17" t="s">
        <v>113</v>
      </c>
      <c r="B17" t="s">
        <v>853</v>
      </c>
      <c r="C17" t="s">
        <v>854</v>
      </c>
      <c r="D17" t="s">
        <v>855</v>
      </c>
      <c r="E17" t="s">
        <v>856</v>
      </c>
      <c r="F17" t="s">
        <v>738</v>
      </c>
      <c r="G17">
        <v>15</v>
      </c>
      <c r="H17" t="s">
        <v>857</v>
      </c>
      <c r="I17" t="s">
        <v>858</v>
      </c>
      <c r="J17" t="s">
        <v>859</v>
      </c>
    </row>
    <row r="18" spans="1:10" x14ac:dyDescent="0.3">
      <c r="A18" t="s">
        <v>106</v>
      </c>
      <c r="B18" t="s">
        <v>811</v>
      </c>
      <c r="C18" t="s">
        <v>812</v>
      </c>
      <c r="D18" t="s">
        <v>813</v>
      </c>
      <c r="E18" t="s">
        <v>814</v>
      </c>
      <c r="F18" t="s">
        <v>730</v>
      </c>
      <c r="G18">
        <v>8</v>
      </c>
      <c r="H18" t="s">
        <v>815</v>
      </c>
      <c r="I18" t="s">
        <v>816</v>
      </c>
      <c r="J18" t="s">
        <v>817</v>
      </c>
    </row>
    <row r="19" spans="1:10" x14ac:dyDescent="0.3">
      <c r="A19" t="s">
        <v>154</v>
      </c>
      <c r="B19" t="s">
        <v>1101</v>
      </c>
      <c r="C19" t="s">
        <v>1102</v>
      </c>
      <c r="D19" t="s">
        <v>1103</v>
      </c>
      <c r="E19" t="s">
        <v>1104</v>
      </c>
      <c r="F19" t="s">
        <v>1105</v>
      </c>
      <c r="G19">
        <v>25</v>
      </c>
      <c r="H19" t="s">
        <v>1106</v>
      </c>
      <c r="I19" t="s">
        <v>1107</v>
      </c>
      <c r="J19" t="s">
        <v>1108</v>
      </c>
    </row>
    <row r="20" spans="1:10" x14ac:dyDescent="0.3">
      <c r="A20" t="s">
        <v>96</v>
      </c>
      <c r="B20" t="s">
        <v>742</v>
      </c>
      <c r="C20" t="s">
        <v>743</v>
      </c>
      <c r="D20" t="s">
        <v>744</v>
      </c>
      <c r="E20" t="s">
        <v>745</v>
      </c>
      <c r="F20" t="s">
        <v>746</v>
      </c>
      <c r="G20">
        <v>40</v>
      </c>
      <c r="H20" t="s">
        <v>747</v>
      </c>
      <c r="I20" t="s">
        <v>748</v>
      </c>
      <c r="J20" t="s">
        <v>749</v>
      </c>
    </row>
    <row r="21" spans="1:10" x14ac:dyDescent="0.3">
      <c r="A21" t="s">
        <v>92</v>
      </c>
      <c r="B21" t="s">
        <v>710</v>
      </c>
      <c r="C21" t="s">
        <v>711</v>
      </c>
      <c r="D21" t="s">
        <v>712</v>
      </c>
      <c r="E21" t="s">
        <v>713</v>
      </c>
      <c r="F21" t="s">
        <v>714</v>
      </c>
      <c r="G21">
        <v>12</v>
      </c>
      <c r="H21" t="s">
        <v>715</v>
      </c>
      <c r="I21" t="s">
        <v>716</v>
      </c>
      <c r="J21" t="s">
        <v>717</v>
      </c>
    </row>
    <row r="22" spans="1:10" x14ac:dyDescent="0.3">
      <c r="A22" t="s">
        <v>133</v>
      </c>
      <c r="B22" t="s">
        <v>978</v>
      </c>
      <c r="C22" t="s">
        <v>979</v>
      </c>
      <c r="D22" t="s">
        <v>980</v>
      </c>
      <c r="E22" t="s">
        <v>981</v>
      </c>
      <c r="F22" t="s">
        <v>649</v>
      </c>
      <c r="G22">
        <v>20</v>
      </c>
      <c r="H22" t="s">
        <v>982</v>
      </c>
      <c r="I22" t="s">
        <v>983</v>
      </c>
      <c r="J22" t="s">
        <v>984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"/>
  <sheetViews>
    <sheetView workbookViewId="0"/>
  </sheetViews>
  <sheetFormatPr defaultRowHeight="14.4" x14ac:dyDescent="0.3"/>
  <sheetData>
    <row r="1" spans="1:10" x14ac:dyDescent="0.3">
      <c r="A1" t="s">
        <v>1741</v>
      </c>
      <c r="B1" t="s">
        <v>612</v>
      </c>
      <c r="C1" t="s">
        <v>613</v>
      </c>
      <c r="D1" t="s">
        <v>614</v>
      </c>
      <c r="E1" t="s">
        <v>615</v>
      </c>
      <c r="F1" t="s">
        <v>616</v>
      </c>
      <c r="G1" t="s">
        <v>617</v>
      </c>
      <c r="H1" t="s">
        <v>618</v>
      </c>
      <c r="I1" t="s">
        <v>619</v>
      </c>
      <c r="J1" t="s">
        <v>620</v>
      </c>
    </row>
    <row r="2" spans="1:10" x14ac:dyDescent="0.3">
      <c r="A2" t="s">
        <v>624</v>
      </c>
      <c r="B2" t="s">
        <v>625</v>
      </c>
      <c r="C2" t="s">
        <v>626</v>
      </c>
      <c r="D2" t="s">
        <v>627</v>
      </c>
      <c r="E2" t="s">
        <v>628</v>
      </c>
      <c r="F2" t="s">
        <v>629</v>
      </c>
      <c r="G2" t="s">
        <v>630</v>
      </c>
      <c r="H2" t="s">
        <v>631</v>
      </c>
      <c r="I2" t="s">
        <v>632</v>
      </c>
      <c r="J2" t="s">
        <v>633</v>
      </c>
    </row>
    <row r="3" spans="1:10" x14ac:dyDescent="0.3">
      <c r="A3" t="s">
        <v>1742</v>
      </c>
      <c r="B3" t="s">
        <v>1743</v>
      </c>
      <c r="C3" t="s">
        <v>803</v>
      </c>
      <c r="D3" t="s">
        <v>1744</v>
      </c>
      <c r="E3" t="s">
        <v>1745</v>
      </c>
      <c r="F3" t="s">
        <v>714</v>
      </c>
      <c r="G3">
        <v>2.5</v>
      </c>
      <c r="H3" t="s">
        <v>1746</v>
      </c>
      <c r="I3" t="s">
        <v>1747</v>
      </c>
      <c r="J3" t="s">
        <v>1748</v>
      </c>
    </row>
    <row r="4" spans="1:10" x14ac:dyDescent="0.3">
      <c r="A4" t="s">
        <v>126</v>
      </c>
      <c r="B4" t="s">
        <v>930</v>
      </c>
      <c r="C4" t="s">
        <v>931</v>
      </c>
      <c r="D4" t="s">
        <v>932</v>
      </c>
      <c r="E4" t="s">
        <v>688</v>
      </c>
      <c r="F4" t="s">
        <v>933</v>
      </c>
      <c r="G4">
        <v>15</v>
      </c>
      <c r="H4" t="s">
        <v>934</v>
      </c>
      <c r="I4" t="s">
        <v>935</v>
      </c>
      <c r="J4" t="s">
        <v>936</v>
      </c>
    </row>
    <row r="5" spans="1:10" x14ac:dyDescent="0.3">
      <c r="A5" t="s">
        <v>155</v>
      </c>
      <c r="B5" t="s">
        <v>1048</v>
      </c>
      <c r="C5" t="s">
        <v>1109</v>
      </c>
      <c r="D5" t="s">
        <v>1110</v>
      </c>
      <c r="E5" t="s">
        <v>1111</v>
      </c>
      <c r="F5" t="s">
        <v>1112</v>
      </c>
      <c r="G5">
        <v>1</v>
      </c>
      <c r="H5" t="s">
        <v>1113</v>
      </c>
      <c r="I5" t="s">
        <v>1114</v>
      </c>
      <c r="J5" t="s">
        <v>1115</v>
      </c>
    </row>
    <row r="6" spans="1:10" x14ac:dyDescent="0.3">
      <c r="A6" t="s">
        <v>138</v>
      </c>
      <c r="B6" t="s">
        <v>1012</v>
      </c>
      <c r="C6" t="s">
        <v>1013</v>
      </c>
      <c r="D6" t="s">
        <v>1014</v>
      </c>
      <c r="E6" t="s">
        <v>1015</v>
      </c>
      <c r="F6" t="s">
        <v>649</v>
      </c>
      <c r="G6">
        <v>5</v>
      </c>
      <c r="H6" t="s">
        <v>1016</v>
      </c>
      <c r="I6" t="s">
        <v>1017</v>
      </c>
      <c r="J6" t="s">
        <v>1018</v>
      </c>
    </row>
    <row r="7" spans="1:10" x14ac:dyDescent="0.3">
      <c r="A7" t="s">
        <v>156</v>
      </c>
      <c r="B7" t="s">
        <v>884</v>
      </c>
      <c r="C7" t="s">
        <v>1109</v>
      </c>
      <c r="D7" t="s">
        <v>1116</v>
      </c>
      <c r="E7" t="s">
        <v>1117</v>
      </c>
      <c r="F7" t="s">
        <v>1118</v>
      </c>
      <c r="G7">
        <v>0.8</v>
      </c>
      <c r="H7" t="s">
        <v>1119</v>
      </c>
      <c r="I7" t="s">
        <v>1120</v>
      </c>
      <c r="J7" t="s">
        <v>1121</v>
      </c>
    </row>
    <row r="8" spans="1:10" x14ac:dyDescent="0.3">
      <c r="A8" t="s">
        <v>137</v>
      </c>
      <c r="B8" t="s">
        <v>1005</v>
      </c>
      <c r="C8" t="s">
        <v>1006</v>
      </c>
      <c r="D8" t="s">
        <v>1007</v>
      </c>
      <c r="E8" t="s">
        <v>1008</v>
      </c>
      <c r="F8" t="s">
        <v>697</v>
      </c>
      <c r="G8">
        <v>3</v>
      </c>
      <c r="H8" t="s">
        <v>1009</v>
      </c>
      <c r="I8" t="s">
        <v>1010</v>
      </c>
      <c r="J8" t="s">
        <v>1011</v>
      </c>
    </row>
    <row r="9" spans="1:10" x14ac:dyDescent="0.3">
      <c r="A9" t="s">
        <v>107</v>
      </c>
      <c r="B9" t="s">
        <v>818</v>
      </c>
      <c r="C9" t="s">
        <v>803</v>
      </c>
      <c r="D9" t="s">
        <v>819</v>
      </c>
      <c r="E9" t="s">
        <v>688</v>
      </c>
      <c r="F9" t="s">
        <v>820</v>
      </c>
      <c r="G9">
        <v>2</v>
      </c>
      <c r="H9" t="s">
        <v>821</v>
      </c>
      <c r="I9" t="s">
        <v>822</v>
      </c>
      <c r="J9" t="s">
        <v>823</v>
      </c>
    </row>
    <row r="10" spans="1:10" x14ac:dyDescent="0.3">
      <c r="A10" t="s">
        <v>139</v>
      </c>
      <c r="B10" t="s">
        <v>1019</v>
      </c>
      <c r="C10" t="s">
        <v>931</v>
      </c>
      <c r="D10" t="s">
        <v>1020</v>
      </c>
      <c r="E10" t="s">
        <v>1021</v>
      </c>
      <c r="F10" t="s">
        <v>1022</v>
      </c>
      <c r="G10">
        <v>10</v>
      </c>
      <c r="H10" t="s">
        <v>1023</v>
      </c>
      <c r="I10" t="s">
        <v>1024</v>
      </c>
      <c r="J10" t="s">
        <v>1025</v>
      </c>
    </row>
    <row r="11" spans="1:10" x14ac:dyDescent="0.3">
      <c r="A11" t="s">
        <v>89</v>
      </c>
      <c r="B11" t="s">
        <v>685</v>
      </c>
      <c r="C11" t="s">
        <v>686</v>
      </c>
      <c r="D11" t="s">
        <v>687</v>
      </c>
      <c r="E11" t="s">
        <v>688</v>
      </c>
      <c r="F11" t="s">
        <v>649</v>
      </c>
      <c r="G11">
        <v>1.5</v>
      </c>
      <c r="H11" t="s">
        <v>689</v>
      </c>
      <c r="I11" t="s">
        <v>690</v>
      </c>
      <c r="J11" t="s">
        <v>691</v>
      </c>
    </row>
    <row r="12" spans="1:10" x14ac:dyDescent="0.3">
      <c r="A12" t="s">
        <v>157</v>
      </c>
      <c r="B12" t="s">
        <v>1122</v>
      </c>
      <c r="C12" t="s">
        <v>1123</v>
      </c>
      <c r="D12" t="s">
        <v>1124</v>
      </c>
      <c r="E12" t="s">
        <v>1125</v>
      </c>
      <c r="F12" t="s">
        <v>888</v>
      </c>
      <c r="G12">
        <v>1.2</v>
      </c>
      <c r="H12" t="s">
        <v>1126</v>
      </c>
      <c r="I12" t="s">
        <v>1127</v>
      </c>
      <c r="J12" t="s">
        <v>1128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8"/>
  <sheetViews>
    <sheetView workbookViewId="0"/>
  </sheetViews>
  <sheetFormatPr defaultRowHeight="14.4" x14ac:dyDescent="0.3"/>
  <sheetData>
    <row r="1" spans="1:4" x14ac:dyDescent="0.3">
      <c r="A1" t="s">
        <v>1749</v>
      </c>
      <c r="B1" t="s">
        <v>612</v>
      </c>
      <c r="C1" t="s">
        <v>613</v>
      </c>
      <c r="D1" t="s">
        <v>614</v>
      </c>
    </row>
    <row r="3" spans="1:4" x14ac:dyDescent="0.3">
      <c r="A3" t="s">
        <v>1750</v>
      </c>
      <c r="B3" t="s">
        <v>1751</v>
      </c>
    </row>
    <row r="5" spans="1:4" x14ac:dyDescent="0.3">
      <c r="A5" t="s">
        <v>1752</v>
      </c>
    </row>
    <row r="6" spans="1:4" x14ac:dyDescent="0.3">
      <c r="A6" t="s">
        <v>1753</v>
      </c>
      <c r="B6" t="s">
        <v>1754</v>
      </c>
      <c r="C6" t="s">
        <v>2</v>
      </c>
      <c r="D6" t="s">
        <v>1755</v>
      </c>
    </row>
    <row r="7" spans="1:4" x14ac:dyDescent="0.3">
      <c r="A7" t="s">
        <v>1756</v>
      </c>
      <c r="B7" t="s">
        <v>1757</v>
      </c>
      <c r="C7" t="s">
        <v>1758</v>
      </c>
      <c r="D7" t="s">
        <v>1759</v>
      </c>
    </row>
    <row r="8" spans="1:4" x14ac:dyDescent="0.3">
      <c r="A8" t="s">
        <v>1760</v>
      </c>
      <c r="B8" t="s">
        <v>1761</v>
      </c>
      <c r="C8" t="s">
        <v>1762</v>
      </c>
      <c r="D8" t="s">
        <v>1763</v>
      </c>
    </row>
    <row r="9" spans="1:4" x14ac:dyDescent="0.3">
      <c r="A9" t="s">
        <v>1764</v>
      </c>
      <c r="B9" t="s">
        <v>1765</v>
      </c>
      <c r="C9" t="s">
        <v>1762</v>
      </c>
      <c r="D9" t="s">
        <v>1766</v>
      </c>
    </row>
    <row r="10" spans="1:4" x14ac:dyDescent="0.3">
      <c r="A10" t="s">
        <v>1767</v>
      </c>
      <c r="B10" t="s">
        <v>1768</v>
      </c>
      <c r="C10" t="s">
        <v>1769</v>
      </c>
      <c r="D10" t="s">
        <v>1770</v>
      </c>
    </row>
    <row r="11" spans="1:4" x14ac:dyDescent="0.3">
      <c r="A11" t="s">
        <v>1771</v>
      </c>
      <c r="B11" t="s">
        <v>1772</v>
      </c>
      <c r="C11" t="s">
        <v>1773</v>
      </c>
      <c r="D11" t="s">
        <v>1774</v>
      </c>
    </row>
    <row r="12" spans="1:4" x14ac:dyDescent="0.3">
      <c r="A12" t="s">
        <v>1775</v>
      </c>
      <c r="B12" t="s">
        <v>1776</v>
      </c>
      <c r="C12" t="s">
        <v>1777</v>
      </c>
      <c r="D12" t="s">
        <v>1778</v>
      </c>
    </row>
    <row r="13" spans="1:4" x14ac:dyDescent="0.3">
      <c r="A13" t="s">
        <v>1779</v>
      </c>
      <c r="B13" t="s">
        <v>1780</v>
      </c>
      <c r="C13" t="s">
        <v>245</v>
      </c>
      <c r="D13" t="s">
        <v>1781</v>
      </c>
    </row>
    <row r="16" spans="1:4" x14ac:dyDescent="0.3">
      <c r="A16" t="s">
        <v>1782</v>
      </c>
    </row>
    <row r="17" spans="1:4" x14ac:dyDescent="0.3">
      <c r="A17" t="s">
        <v>1753</v>
      </c>
      <c r="B17" t="s">
        <v>1754</v>
      </c>
      <c r="C17" t="s">
        <v>2</v>
      </c>
      <c r="D17" t="s">
        <v>1755</v>
      </c>
    </row>
    <row r="18" spans="1:4" x14ac:dyDescent="0.3">
      <c r="A18" t="s">
        <v>1783</v>
      </c>
      <c r="B18" t="s">
        <v>1784</v>
      </c>
      <c r="C18" t="s">
        <v>245</v>
      </c>
      <c r="D18" t="s">
        <v>1785</v>
      </c>
    </row>
    <row r="19" spans="1:4" x14ac:dyDescent="0.3">
      <c r="A19" t="s">
        <v>1786</v>
      </c>
      <c r="B19" t="s">
        <v>1787</v>
      </c>
      <c r="C19" t="s">
        <v>1788</v>
      </c>
      <c r="D19" t="s">
        <v>1789</v>
      </c>
    </row>
    <row r="20" spans="1:4" x14ac:dyDescent="0.3">
      <c r="A20" t="s">
        <v>1790</v>
      </c>
      <c r="B20" t="s">
        <v>1791</v>
      </c>
      <c r="C20" t="s">
        <v>245</v>
      </c>
      <c r="D20" t="s">
        <v>1792</v>
      </c>
    </row>
    <row r="21" spans="1:4" x14ac:dyDescent="0.3">
      <c r="A21" t="s">
        <v>1793</v>
      </c>
      <c r="B21" t="s">
        <v>1794</v>
      </c>
      <c r="C21" t="s">
        <v>245</v>
      </c>
      <c r="D21" t="s">
        <v>1795</v>
      </c>
    </row>
    <row r="22" spans="1:4" x14ac:dyDescent="0.3">
      <c r="A22" t="s">
        <v>1796</v>
      </c>
      <c r="B22" t="s">
        <v>1791</v>
      </c>
      <c r="C22" t="s">
        <v>245</v>
      </c>
      <c r="D22" t="s">
        <v>1797</v>
      </c>
    </row>
    <row r="23" spans="1:4" x14ac:dyDescent="0.3">
      <c r="A23" t="s">
        <v>1798</v>
      </c>
      <c r="B23" t="s">
        <v>1799</v>
      </c>
      <c r="C23" t="s">
        <v>245</v>
      </c>
      <c r="D23" t="s">
        <v>1800</v>
      </c>
    </row>
    <row r="24" spans="1:4" x14ac:dyDescent="0.3">
      <c r="A24" t="s">
        <v>1801</v>
      </c>
      <c r="B24" t="s">
        <v>1802</v>
      </c>
      <c r="C24" t="s">
        <v>245</v>
      </c>
      <c r="D24" t="s">
        <v>1803</v>
      </c>
    </row>
    <row r="25" spans="1:4" x14ac:dyDescent="0.3">
      <c r="A25" t="s">
        <v>1804</v>
      </c>
      <c r="B25" t="s">
        <v>1794</v>
      </c>
      <c r="C25" t="s">
        <v>245</v>
      </c>
      <c r="D25" t="s">
        <v>1805</v>
      </c>
    </row>
    <row r="28" spans="1:4" x14ac:dyDescent="0.3">
      <c r="A28" t="s">
        <v>1806</v>
      </c>
    </row>
    <row r="29" spans="1:4" x14ac:dyDescent="0.3">
      <c r="A29" t="s">
        <v>1807</v>
      </c>
      <c r="B29" t="s">
        <v>1808</v>
      </c>
      <c r="C29" t="s">
        <v>1809</v>
      </c>
      <c r="D29" t="s">
        <v>1810</v>
      </c>
    </row>
    <row r="30" spans="1:4" x14ac:dyDescent="0.3">
      <c r="A30" t="s">
        <v>1811</v>
      </c>
      <c r="B30" t="s">
        <v>1812</v>
      </c>
      <c r="C30" t="s">
        <v>1813</v>
      </c>
      <c r="D30" t="s">
        <v>1814</v>
      </c>
    </row>
    <row r="31" spans="1:4" x14ac:dyDescent="0.3">
      <c r="A31" t="s">
        <v>1815</v>
      </c>
      <c r="B31" t="s">
        <v>1816</v>
      </c>
      <c r="C31" t="s">
        <v>1817</v>
      </c>
      <c r="D31" t="s">
        <v>1814</v>
      </c>
    </row>
    <row r="32" spans="1:4" x14ac:dyDescent="0.3">
      <c r="A32" t="s">
        <v>1818</v>
      </c>
      <c r="B32" t="s">
        <v>1819</v>
      </c>
      <c r="C32" t="s">
        <v>1820</v>
      </c>
      <c r="D32" t="s">
        <v>1821</v>
      </c>
    </row>
    <row r="33" spans="1:4" x14ac:dyDescent="0.3">
      <c r="A33" t="s">
        <v>1822</v>
      </c>
      <c r="B33" t="s">
        <v>1823</v>
      </c>
      <c r="C33" t="s">
        <v>1824</v>
      </c>
      <c r="D33" t="s">
        <v>1825</v>
      </c>
    </row>
    <row r="34" spans="1:4" x14ac:dyDescent="0.3">
      <c r="A34" t="s">
        <v>1826</v>
      </c>
      <c r="B34" t="s">
        <v>1827</v>
      </c>
      <c r="C34" t="s">
        <v>1828</v>
      </c>
      <c r="D34" t="s">
        <v>1829</v>
      </c>
    </row>
    <row r="37" spans="1:4" x14ac:dyDescent="0.3">
      <c r="A37" t="s">
        <v>1830</v>
      </c>
    </row>
    <row r="38" spans="1:4" x14ac:dyDescent="0.3">
      <c r="A38" t="s">
        <v>1136</v>
      </c>
      <c r="B38" t="s">
        <v>1831</v>
      </c>
    </row>
    <row r="39" spans="1:4" x14ac:dyDescent="0.3">
      <c r="A39" t="s">
        <v>1832</v>
      </c>
      <c r="B39" t="s">
        <v>1833</v>
      </c>
    </row>
    <row r="40" spans="1:4" x14ac:dyDescent="0.3">
      <c r="A40" t="s">
        <v>1834</v>
      </c>
      <c r="B40" t="s">
        <v>1835</v>
      </c>
    </row>
    <row r="41" spans="1:4" x14ac:dyDescent="0.3">
      <c r="A41" t="s">
        <v>1836</v>
      </c>
      <c r="B41" t="s">
        <v>1837</v>
      </c>
    </row>
    <row r="42" spans="1:4" x14ac:dyDescent="0.3">
      <c r="A42" t="s">
        <v>1838</v>
      </c>
      <c r="B42" t="s">
        <v>1839</v>
      </c>
    </row>
    <row r="43" spans="1:4" x14ac:dyDescent="0.3">
      <c r="A43" t="s">
        <v>1840</v>
      </c>
      <c r="B43" t="s">
        <v>1841</v>
      </c>
    </row>
    <row r="44" spans="1:4" x14ac:dyDescent="0.3">
      <c r="A44" t="s">
        <v>1842</v>
      </c>
      <c r="B44" t="s">
        <v>1843</v>
      </c>
    </row>
    <row r="45" spans="1:4" x14ac:dyDescent="0.3">
      <c r="A45" t="s">
        <v>1844</v>
      </c>
      <c r="B45" t="s">
        <v>1845</v>
      </c>
    </row>
    <row r="46" spans="1:4" x14ac:dyDescent="0.3">
      <c r="A46" t="s">
        <v>1846</v>
      </c>
      <c r="B46" t="s">
        <v>1847</v>
      </c>
    </row>
    <row r="47" spans="1:4" x14ac:dyDescent="0.3">
      <c r="A47" t="s">
        <v>1848</v>
      </c>
      <c r="B47" t="s">
        <v>1849</v>
      </c>
    </row>
    <row r="48" spans="1:4" x14ac:dyDescent="0.3">
      <c r="A48" t="s">
        <v>1850</v>
      </c>
      <c r="B48" t="s">
        <v>1851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1"/>
  <sheetViews>
    <sheetView workbookViewId="0"/>
  </sheetViews>
  <sheetFormatPr defaultRowHeight="14.4" x14ac:dyDescent="0.3"/>
  <sheetData>
    <row r="1" spans="1:2" x14ac:dyDescent="0.3">
      <c r="A1" t="s">
        <v>1852</v>
      </c>
      <c r="B1" t="s">
        <v>612</v>
      </c>
    </row>
    <row r="3" spans="1:2" x14ac:dyDescent="0.3">
      <c r="A3" t="s">
        <v>1853</v>
      </c>
    </row>
    <row r="4" spans="1:2" x14ac:dyDescent="0.3">
      <c r="A4" t="s">
        <v>1854</v>
      </c>
      <c r="B4" t="s">
        <v>1855</v>
      </c>
    </row>
    <row r="5" spans="1:2" x14ac:dyDescent="0.3">
      <c r="A5" t="s">
        <v>1856</v>
      </c>
      <c r="B5" t="s">
        <v>1857</v>
      </c>
    </row>
    <row r="6" spans="1:2" x14ac:dyDescent="0.3">
      <c r="A6" t="s">
        <v>1858</v>
      </c>
      <c r="B6" t="s">
        <v>1859</v>
      </c>
    </row>
    <row r="7" spans="1:2" x14ac:dyDescent="0.3">
      <c r="A7" t="s">
        <v>1860</v>
      </c>
      <c r="B7" t="s">
        <v>1861</v>
      </c>
    </row>
    <row r="8" spans="1:2" x14ac:dyDescent="0.3">
      <c r="A8" t="s">
        <v>1862</v>
      </c>
    </row>
    <row r="9" spans="1:2" x14ac:dyDescent="0.3">
      <c r="A9" t="s">
        <v>1863</v>
      </c>
      <c r="B9" t="s">
        <v>1864</v>
      </c>
    </row>
    <row r="10" spans="1:2" x14ac:dyDescent="0.3">
      <c r="A10" t="s">
        <v>1865</v>
      </c>
      <c r="B10" t="s">
        <v>1866</v>
      </c>
    </row>
    <row r="11" spans="1:2" x14ac:dyDescent="0.3">
      <c r="A11" t="s">
        <v>1867</v>
      </c>
      <c r="B11" t="s">
        <v>1868</v>
      </c>
    </row>
    <row r="12" spans="1:2" x14ac:dyDescent="0.3">
      <c r="A12" t="s">
        <v>1869</v>
      </c>
      <c r="B12" t="s">
        <v>1870</v>
      </c>
    </row>
    <row r="13" spans="1:2" x14ac:dyDescent="0.3">
      <c r="A13" t="s">
        <v>1871</v>
      </c>
      <c r="B13" t="s">
        <v>1872</v>
      </c>
    </row>
    <row r="14" spans="1:2" x14ac:dyDescent="0.3">
      <c r="A14" t="s">
        <v>1873</v>
      </c>
      <c r="B14" t="s">
        <v>1874</v>
      </c>
    </row>
    <row r="15" spans="1:2" x14ac:dyDescent="0.3">
      <c r="A15" t="s">
        <v>1875</v>
      </c>
      <c r="B15" t="s">
        <v>1876</v>
      </c>
    </row>
    <row r="16" spans="1:2" x14ac:dyDescent="0.3">
      <c r="A16" t="s">
        <v>1877</v>
      </c>
      <c r="B16" t="s">
        <v>1878</v>
      </c>
    </row>
    <row r="17" spans="1:2" x14ac:dyDescent="0.3">
      <c r="A17" t="s">
        <v>1879</v>
      </c>
    </row>
    <row r="18" spans="1:2" x14ac:dyDescent="0.3">
      <c r="A18" t="s">
        <v>1880</v>
      </c>
      <c r="B18" t="s">
        <v>1881</v>
      </c>
    </row>
    <row r="19" spans="1:2" x14ac:dyDescent="0.3">
      <c r="A19" t="s">
        <v>1882</v>
      </c>
      <c r="B19" t="s">
        <v>1883</v>
      </c>
    </row>
    <row r="20" spans="1:2" x14ac:dyDescent="0.3">
      <c r="A20" t="s">
        <v>1884</v>
      </c>
      <c r="B20" t="s">
        <v>1885</v>
      </c>
    </row>
    <row r="21" spans="1:2" x14ac:dyDescent="0.3">
      <c r="A21" t="s">
        <v>1886</v>
      </c>
      <c r="B21" t="s">
        <v>1887</v>
      </c>
    </row>
    <row r="22" spans="1:2" x14ac:dyDescent="0.3">
      <c r="A22" t="s">
        <v>1888</v>
      </c>
    </row>
    <row r="23" spans="1:2" x14ac:dyDescent="0.3">
      <c r="A23" t="s">
        <v>1889</v>
      </c>
      <c r="B23" t="s">
        <v>1890</v>
      </c>
    </row>
    <row r="24" spans="1:2" x14ac:dyDescent="0.3">
      <c r="A24" t="s">
        <v>1891</v>
      </c>
      <c r="B24" t="s">
        <v>1892</v>
      </c>
    </row>
    <row r="25" spans="1:2" x14ac:dyDescent="0.3">
      <c r="A25" t="s">
        <v>1893</v>
      </c>
      <c r="B25" t="s">
        <v>1894</v>
      </c>
    </row>
    <row r="26" spans="1:2" x14ac:dyDescent="0.3">
      <c r="A26" t="s">
        <v>1895</v>
      </c>
    </row>
    <row r="27" spans="1:2" x14ac:dyDescent="0.3">
      <c r="A27" t="s">
        <v>1896</v>
      </c>
      <c r="B27" t="s">
        <v>1897</v>
      </c>
    </row>
    <row r="28" spans="1:2" x14ac:dyDescent="0.3">
      <c r="A28" t="s">
        <v>1898</v>
      </c>
      <c r="B28" t="s">
        <v>1899</v>
      </c>
    </row>
    <row r="29" spans="1:2" x14ac:dyDescent="0.3">
      <c r="A29" t="s">
        <v>1900</v>
      </c>
      <c r="B29" t="s">
        <v>1901</v>
      </c>
    </row>
    <row r="30" spans="1:2" x14ac:dyDescent="0.3">
      <c r="A30" t="s">
        <v>1902</v>
      </c>
    </row>
    <row r="31" spans="1:2" x14ac:dyDescent="0.3">
      <c r="A31" t="s">
        <v>1903</v>
      </c>
      <c r="B31" t="s">
        <v>1904</v>
      </c>
    </row>
    <row r="32" spans="1:2" x14ac:dyDescent="0.3">
      <c r="A32" t="s">
        <v>1905</v>
      </c>
      <c r="B32" t="s">
        <v>1906</v>
      </c>
    </row>
    <row r="33" spans="1:2" x14ac:dyDescent="0.3">
      <c r="A33" t="s">
        <v>1907</v>
      </c>
      <c r="B33" t="s">
        <v>1908</v>
      </c>
    </row>
    <row r="34" spans="1:2" x14ac:dyDescent="0.3">
      <c r="A34" t="s">
        <v>1909</v>
      </c>
      <c r="B34" t="s">
        <v>1910</v>
      </c>
    </row>
    <row r="35" spans="1:2" x14ac:dyDescent="0.3">
      <c r="A35" t="s">
        <v>1911</v>
      </c>
      <c r="B35" t="s">
        <v>1912</v>
      </c>
    </row>
    <row r="36" spans="1:2" x14ac:dyDescent="0.3">
      <c r="A36" t="s">
        <v>1913</v>
      </c>
    </row>
    <row r="37" spans="1:2" x14ac:dyDescent="0.3">
      <c r="A37" t="s">
        <v>1914</v>
      </c>
      <c r="B37" t="s">
        <v>1915</v>
      </c>
    </row>
    <row r="38" spans="1:2" x14ac:dyDescent="0.3">
      <c r="A38" t="s">
        <v>1916</v>
      </c>
      <c r="B38" t="s">
        <v>1917</v>
      </c>
    </row>
    <row r="40" spans="1:2" x14ac:dyDescent="0.3">
      <c r="A40" t="s">
        <v>1918</v>
      </c>
    </row>
    <row r="41" spans="1:2" x14ac:dyDescent="0.3">
      <c r="A41" t="s">
        <v>1919</v>
      </c>
      <c r="B41" t="s">
        <v>1920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4"/>
  <sheetViews>
    <sheetView workbookViewId="0"/>
  </sheetViews>
  <sheetFormatPr defaultRowHeight="14.4" x14ac:dyDescent="0.3"/>
  <sheetData>
    <row r="1" spans="1:2" x14ac:dyDescent="0.3">
      <c r="A1" t="s">
        <v>1921</v>
      </c>
      <c r="B1" t="s">
        <v>612</v>
      </c>
    </row>
    <row r="3" spans="1:2" x14ac:dyDescent="0.3">
      <c r="A3" t="s">
        <v>1922</v>
      </c>
    </row>
    <row r="4" spans="1:2" x14ac:dyDescent="0.3">
      <c r="A4" t="s">
        <v>1923</v>
      </c>
      <c r="B4" t="s">
        <v>1924</v>
      </c>
    </row>
    <row r="5" spans="1:2" x14ac:dyDescent="0.3">
      <c r="A5" t="s">
        <v>1925</v>
      </c>
      <c r="B5" t="s">
        <v>1926</v>
      </c>
    </row>
    <row r="6" spans="1:2" x14ac:dyDescent="0.3">
      <c r="A6" t="s">
        <v>1927</v>
      </c>
      <c r="B6" t="s">
        <v>1928</v>
      </c>
    </row>
    <row r="7" spans="1:2" x14ac:dyDescent="0.3">
      <c r="A7" t="s">
        <v>1929</v>
      </c>
      <c r="B7" t="s">
        <v>1930</v>
      </c>
    </row>
    <row r="8" spans="1:2" x14ac:dyDescent="0.3">
      <c r="A8" t="s">
        <v>1931</v>
      </c>
      <c r="B8" t="s">
        <v>1932</v>
      </c>
    </row>
    <row r="9" spans="1:2" x14ac:dyDescent="0.3">
      <c r="A9" t="s">
        <v>1933</v>
      </c>
    </row>
    <row r="10" spans="1:2" x14ac:dyDescent="0.3">
      <c r="A10" t="s">
        <v>1854</v>
      </c>
      <c r="B10" t="s">
        <v>1924</v>
      </c>
    </row>
    <row r="11" spans="1:2" x14ac:dyDescent="0.3">
      <c r="A11" t="s">
        <v>1934</v>
      </c>
      <c r="B11" t="s">
        <v>1924</v>
      </c>
    </row>
    <row r="12" spans="1:2" x14ac:dyDescent="0.3">
      <c r="A12" t="s">
        <v>1935</v>
      </c>
      <c r="B12" t="s">
        <v>1936</v>
      </c>
    </row>
    <row r="13" spans="1:2" x14ac:dyDescent="0.3">
      <c r="A13" t="s">
        <v>1937</v>
      </c>
      <c r="B13" t="s">
        <v>1936</v>
      </c>
    </row>
    <row r="14" spans="1:2" x14ac:dyDescent="0.3">
      <c r="A14" t="s">
        <v>1938</v>
      </c>
      <c r="B14" t="s">
        <v>1936</v>
      </c>
    </row>
    <row r="15" spans="1:2" x14ac:dyDescent="0.3">
      <c r="A15" t="s">
        <v>1939</v>
      </c>
      <c r="B15" t="s">
        <v>1924</v>
      </c>
    </row>
    <row r="16" spans="1:2" x14ac:dyDescent="0.3">
      <c r="A16" t="s">
        <v>1760</v>
      </c>
      <c r="B16" t="s">
        <v>1940</v>
      </c>
    </row>
    <row r="17" spans="1:2" x14ac:dyDescent="0.3">
      <c r="A17" t="s">
        <v>1941</v>
      </c>
      <c r="B17" t="s">
        <v>1942</v>
      </c>
    </row>
    <row r="18" spans="1:2" x14ac:dyDescent="0.3">
      <c r="A18" t="s">
        <v>1877</v>
      </c>
      <c r="B18" t="s">
        <v>1942</v>
      </c>
    </row>
    <row r="19" spans="1:2" x14ac:dyDescent="0.3">
      <c r="A19" t="s">
        <v>1943</v>
      </c>
    </row>
    <row r="20" spans="1:2" x14ac:dyDescent="0.3">
      <c r="A20" t="s">
        <v>1880</v>
      </c>
      <c r="B20" t="s">
        <v>1944</v>
      </c>
    </row>
    <row r="21" spans="1:2" x14ac:dyDescent="0.3">
      <c r="A21" t="s">
        <v>1945</v>
      </c>
      <c r="B21" t="s">
        <v>1946</v>
      </c>
    </row>
    <row r="22" spans="1:2" x14ac:dyDescent="0.3">
      <c r="A22" t="s">
        <v>1947</v>
      </c>
      <c r="B22" t="s">
        <v>1948</v>
      </c>
    </row>
    <row r="23" spans="1:2" x14ac:dyDescent="0.3">
      <c r="A23" t="s">
        <v>1949</v>
      </c>
      <c r="B23" t="s">
        <v>1950</v>
      </c>
    </row>
    <row r="24" spans="1:2" x14ac:dyDescent="0.3">
      <c r="A24" t="s">
        <v>1886</v>
      </c>
      <c r="B24" t="s">
        <v>1951</v>
      </c>
    </row>
    <row r="25" spans="1:2" x14ac:dyDescent="0.3">
      <c r="A25" t="s">
        <v>1952</v>
      </c>
    </row>
    <row r="26" spans="1:2" x14ac:dyDescent="0.3">
      <c r="A26" t="s">
        <v>1889</v>
      </c>
      <c r="B26" t="s">
        <v>1953</v>
      </c>
    </row>
    <row r="27" spans="1:2" x14ac:dyDescent="0.3">
      <c r="A27" t="s">
        <v>1891</v>
      </c>
      <c r="B27" t="s">
        <v>1954</v>
      </c>
    </row>
    <row r="28" spans="1:2" x14ac:dyDescent="0.3">
      <c r="A28" t="s">
        <v>1955</v>
      </c>
      <c r="B28" t="s">
        <v>1956</v>
      </c>
    </row>
    <row r="29" spans="1:2" x14ac:dyDescent="0.3">
      <c r="A29" t="s">
        <v>1957</v>
      </c>
      <c r="B29" t="s">
        <v>1958</v>
      </c>
    </row>
    <row r="30" spans="1:2" x14ac:dyDescent="0.3">
      <c r="A30" t="s">
        <v>1895</v>
      </c>
    </row>
    <row r="31" spans="1:2" x14ac:dyDescent="0.3">
      <c r="A31" t="s">
        <v>1959</v>
      </c>
      <c r="B31" t="s">
        <v>1960</v>
      </c>
    </row>
    <row r="32" spans="1:2" x14ac:dyDescent="0.3">
      <c r="A32" t="s">
        <v>1896</v>
      </c>
      <c r="B32" t="s">
        <v>1961</v>
      </c>
    </row>
    <row r="33" spans="1:2" x14ac:dyDescent="0.3">
      <c r="A33" t="s">
        <v>1962</v>
      </c>
      <c r="B33" t="s">
        <v>1963</v>
      </c>
    </row>
    <row r="34" spans="1:2" x14ac:dyDescent="0.3">
      <c r="A34" t="s">
        <v>1964</v>
      </c>
      <c r="B34" t="s">
        <v>1965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0"/>
  <sheetViews>
    <sheetView workbookViewId="0"/>
  </sheetViews>
  <sheetFormatPr defaultRowHeight="14.4" x14ac:dyDescent="0.3"/>
  <sheetData>
    <row r="1" spans="1:2" x14ac:dyDescent="0.3">
      <c r="A1" t="s">
        <v>1966</v>
      </c>
      <c r="B1" t="s">
        <v>612</v>
      </c>
    </row>
    <row r="3" spans="1:2" x14ac:dyDescent="0.3">
      <c r="A3" t="s">
        <v>1967</v>
      </c>
    </row>
    <row r="4" spans="1:2" x14ac:dyDescent="0.3">
      <c r="A4" t="s">
        <v>1968</v>
      </c>
    </row>
    <row r="5" spans="1:2" x14ac:dyDescent="0.3">
      <c r="A5" t="s">
        <v>1969</v>
      </c>
    </row>
    <row r="6" spans="1:2" x14ac:dyDescent="0.3">
      <c r="A6" t="s">
        <v>1970</v>
      </c>
    </row>
    <row r="7" spans="1:2" x14ac:dyDescent="0.3">
      <c r="A7" t="s">
        <v>1971</v>
      </c>
    </row>
    <row r="8" spans="1:2" x14ac:dyDescent="0.3">
      <c r="A8" t="s">
        <v>1972</v>
      </c>
    </row>
    <row r="9" spans="1:2" x14ac:dyDescent="0.3">
      <c r="A9" t="s">
        <v>1973</v>
      </c>
    </row>
    <row r="10" spans="1:2" x14ac:dyDescent="0.3">
      <c r="A10" t="s">
        <v>1974</v>
      </c>
    </row>
    <row r="11" spans="1:2" x14ac:dyDescent="0.3">
      <c r="A11" t="s">
        <v>1975</v>
      </c>
    </row>
    <row r="12" spans="1:2" x14ac:dyDescent="0.3">
      <c r="A12" t="s">
        <v>1976</v>
      </c>
    </row>
    <row r="13" spans="1:2" x14ac:dyDescent="0.3">
      <c r="A13" t="s">
        <v>1977</v>
      </c>
    </row>
    <row r="14" spans="1:2" x14ac:dyDescent="0.3">
      <c r="A14" t="s">
        <v>1978</v>
      </c>
    </row>
    <row r="15" spans="1:2" x14ac:dyDescent="0.3">
      <c r="A15" t="s">
        <v>1979</v>
      </c>
    </row>
    <row r="16" spans="1:2" x14ac:dyDescent="0.3">
      <c r="A16" t="s">
        <v>1980</v>
      </c>
    </row>
    <row r="17" spans="1:2" x14ac:dyDescent="0.3">
      <c r="A17" t="s">
        <v>1981</v>
      </c>
    </row>
    <row r="18" spans="1:2" x14ac:dyDescent="0.3">
      <c r="A18" t="s">
        <v>1982</v>
      </c>
    </row>
    <row r="19" spans="1:2" x14ac:dyDescent="0.3">
      <c r="A19" t="s">
        <v>1983</v>
      </c>
    </row>
    <row r="20" spans="1:2" x14ac:dyDescent="0.3">
      <c r="A20" t="s">
        <v>1984</v>
      </c>
    </row>
    <row r="21" spans="1:2" x14ac:dyDescent="0.3">
      <c r="A21" t="s">
        <v>1985</v>
      </c>
    </row>
    <row r="22" spans="1:2" x14ac:dyDescent="0.3">
      <c r="A22" t="s">
        <v>1986</v>
      </c>
    </row>
    <row r="23" spans="1:2" x14ac:dyDescent="0.3">
      <c r="A23" t="s">
        <v>1987</v>
      </c>
      <c r="B23" t="s">
        <v>1988</v>
      </c>
    </row>
    <row r="24" spans="1:2" x14ac:dyDescent="0.3">
      <c r="A24" t="s">
        <v>1925</v>
      </c>
      <c r="B24" t="s">
        <v>1989</v>
      </c>
    </row>
    <row r="25" spans="1:2" x14ac:dyDescent="0.3">
      <c r="A25" t="s">
        <v>1990</v>
      </c>
      <c r="B25" t="s">
        <v>1991</v>
      </c>
    </row>
    <row r="26" spans="1:2" x14ac:dyDescent="0.3">
      <c r="A26" t="s">
        <v>1992</v>
      </c>
      <c r="B26" t="s">
        <v>1993</v>
      </c>
    </row>
    <row r="27" spans="1:2" x14ac:dyDescent="0.3">
      <c r="A27" t="s">
        <v>1994</v>
      </c>
      <c r="B27" t="s">
        <v>1995</v>
      </c>
    </row>
    <row r="28" spans="1:2" x14ac:dyDescent="0.3">
      <c r="A28" t="s">
        <v>1996</v>
      </c>
      <c r="B28" t="s">
        <v>1997</v>
      </c>
    </row>
    <row r="29" spans="1:2" x14ac:dyDescent="0.3">
      <c r="A29" t="s">
        <v>1998</v>
      </c>
      <c r="B29" t="s">
        <v>1999</v>
      </c>
    </row>
    <row r="30" spans="1:2" x14ac:dyDescent="0.3">
      <c r="A30" t="s">
        <v>2000</v>
      </c>
      <c r="B30" t="s">
        <v>2001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"/>
  <sheetViews>
    <sheetView workbookViewId="0"/>
  </sheetViews>
  <sheetFormatPr defaultRowHeight="14.4" x14ac:dyDescent="0.3"/>
  <sheetData>
    <row r="1" spans="1:4" x14ac:dyDescent="0.3">
      <c r="A1" t="s">
        <v>2002</v>
      </c>
      <c r="B1" t="s">
        <v>612</v>
      </c>
      <c r="C1" t="s">
        <v>613</v>
      </c>
      <c r="D1" t="s">
        <v>614</v>
      </c>
    </row>
    <row r="3" spans="1:4" x14ac:dyDescent="0.3">
      <c r="A3" t="s">
        <v>1753</v>
      </c>
      <c r="B3" t="s">
        <v>2003</v>
      </c>
      <c r="C3" t="s">
        <v>2</v>
      </c>
      <c r="D3" t="s">
        <v>2004</v>
      </c>
    </row>
    <row r="4" spans="1:4" x14ac:dyDescent="0.3">
      <c r="A4" t="s">
        <v>1756</v>
      </c>
      <c r="B4" t="s">
        <v>2005</v>
      </c>
      <c r="C4" t="s">
        <v>1758</v>
      </c>
      <c r="D4" t="s">
        <v>2006</v>
      </c>
    </row>
    <row r="5" spans="1:4" x14ac:dyDescent="0.3">
      <c r="A5" t="s">
        <v>1760</v>
      </c>
      <c r="B5" t="s">
        <v>1761</v>
      </c>
      <c r="C5" t="s">
        <v>1762</v>
      </c>
      <c r="D5" t="s">
        <v>1763</v>
      </c>
    </row>
    <row r="6" spans="1:4" x14ac:dyDescent="0.3">
      <c r="A6" t="s">
        <v>1764</v>
      </c>
      <c r="B6" t="s">
        <v>1765</v>
      </c>
      <c r="C6" t="s">
        <v>1762</v>
      </c>
      <c r="D6" t="s">
        <v>2007</v>
      </c>
    </row>
    <row r="7" spans="1:4" x14ac:dyDescent="0.3">
      <c r="A7" t="s">
        <v>2008</v>
      </c>
      <c r="B7" t="s">
        <v>2009</v>
      </c>
      <c r="C7" t="s">
        <v>1769</v>
      </c>
      <c r="D7" t="s">
        <v>2010</v>
      </c>
    </row>
    <row r="8" spans="1:4" x14ac:dyDescent="0.3">
      <c r="A8" t="s">
        <v>2011</v>
      </c>
      <c r="B8" t="s">
        <v>1772</v>
      </c>
      <c r="C8" t="s">
        <v>1773</v>
      </c>
      <c r="D8" t="s">
        <v>2012</v>
      </c>
    </row>
    <row r="9" spans="1:4" x14ac:dyDescent="0.3">
      <c r="A9" t="s">
        <v>2013</v>
      </c>
      <c r="B9" t="s">
        <v>1776</v>
      </c>
      <c r="C9" t="s">
        <v>1777</v>
      </c>
      <c r="D9" t="s">
        <v>2014</v>
      </c>
    </row>
    <row r="10" spans="1:4" x14ac:dyDescent="0.3">
      <c r="A10" t="s">
        <v>2015</v>
      </c>
      <c r="B10" t="s">
        <v>2016</v>
      </c>
      <c r="C10" t="s">
        <v>1777</v>
      </c>
      <c r="D10" t="s">
        <v>2017</v>
      </c>
    </row>
    <row r="11" spans="1:4" x14ac:dyDescent="0.3">
      <c r="A11" t="s">
        <v>2018</v>
      </c>
      <c r="B11" t="s">
        <v>2019</v>
      </c>
      <c r="C11" t="s">
        <v>245</v>
      </c>
      <c r="D11" t="s">
        <v>2020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1"/>
  <sheetViews>
    <sheetView workbookViewId="0"/>
  </sheetViews>
  <sheetFormatPr defaultRowHeight="14.4" x14ac:dyDescent="0.3"/>
  <sheetData>
    <row r="1" spans="1:4" x14ac:dyDescent="0.3">
      <c r="A1" t="s">
        <v>2021</v>
      </c>
      <c r="B1" t="s">
        <v>612</v>
      </c>
      <c r="C1" t="s">
        <v>613</v>
      </c>
      <c r="D1" t="s">
        <v>614</v>
      </c>
    </row>
    <row r="3" spans="1:4" x14ac:dyDescent="0.3">
      <c r="A3" t="s">
        <v>1753</v>
      </c>
      <c r="B3" t="s">
        <v>2003</v>
      </c>
      <c r="C3" t="s">
        <v>2</v>
      </c>
      <c r="D3" t="s">
        <v>2004</v>
      </c>
    </row>
    <row r="4" spans="1:4" x14ac:dyDescent="0.3">
      <c r="A4" t="s">
        <v>1783</v>
      </c>
      <c r="B4" t="s">
        <v>2022</v>
      </c>
      <c r="C4" t="s">
        <v>245</v>
      </c>
      <c r="D4" t="s">
        <v>2023</v>
      </c>
    </row>
    <row r="5" spans="1:4" x14ac:dyDescent="0.3">
      <c r="A5" t="s">
        <v>1786</v>
      </c>
      <c r="B5" t="s">
        <v>2024</v>
      </c>
      <c r="C5" t="s">
        <v>1788</v>
      </c>
      <c r="D5" t="s">
        <v>1789</v>
      </c>
    </row>
    <row r="6" spans="1:4" x14ac:dyDescent="0.3">
      <c r="A6" t="s">
        <v>2025</v>
      </c>
      <c r="B6" t="s">
        <v>2026</v>
      </c>
      <c r="C6" t="s">
        <v>245</v>
      </c>
      <c r="D6" t="s">
        <v>1792</v>
      </c>
    </row>
    <row r="7" spans="1:4" x14ac:dyDescent="0.3">
      <c r="A7" t="s">
        <v>2027</v>
      </c>
      <c r="B7" t="s">
        <v>2028</v>
      </c>
      <c r="C7" t="s">
        <v>245</v>
      </c>
      <c r="D7" t="s">
        <v>1795</v>
      </c>
    </row>
    <row r="8" spans="1:4" x14ac:dyDescent="0.3">
      <c r="A8" t="s">
        <v>1796</v>
      </c>
      <c r="B8" t="s">
        <v>2026</v>
      </c>
      <c r="C8" t="s">
        <v>245</v>
      </c>
      <c r="D8" t="s">
        <v>1797</v>
      </c>
    </row>
    <row r="9" spans="1:4" x14ac:dyDescent="0.3">
      <c r="A9" t="s">
        <v>2029</v>
      </c>
      <c r="B9" t="s">
        <v>2030</v>
      </c>
      <c r="C9" t="s">
        <v>245</v>
      </c>
      <c r="D9" t="s">
        <v>1800</v>
      </c>
    </row>
    <row r="10" spans="1:4" x14ac:dyDescent="0.3">
      <c r="A10" t="s">
        <v>2031</v>
      </c>
      <c r="B10" t="s">
        <v>2032</v>
      </c>
      <c r="C10" t="s">
        <v>245</v>
      </c>
      <c r="D10" t="s">
        <v>2033</v>
      </c>
    </row>
    <row r="11" spans="1:4" x14ac:dyDescent="0.3">
      <c r="A11" t="s">
        <v>2034</v>
      </c>
      <c r="B11" t="s">
        <v>2028</v>
      </c>
      <c r="C11" t="s">
        <v>245</v>
      </c>
      <c r="D11" t="s">
        <v>2035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/>
  </sheetViews>
  <sheetFormatPr defaultRowHeight="14.4" x14ac:dyDescent="0.3"/>
  <sheetData>
    <row r="1" spans="1:3" x14ac:dyDescent="0.3">
      <c r="A1" t="s">
        <v>2036</v>
      </c>
      <c r="B1" t="s">
        <v>612</v>
      </c>
      <c r="C1" t="s">
        <v>613</v>
      </c>
    </row>
    <row r="3" spans="1:3" x14ac:dyDescent="0.3">
      <c r="A3" t="s">
        <v>2037</v>
      </c>
    </row>
    <row r="4" spans="1:3" x14ac:dyDescent="0.3">
      <c r="A4" t="s">
        <v>2038</v>
      </c>
      <c r="B4" t="s">
        <v>2039</v>
      </c>
      <c r="C4" t="s">
        <v>2040</v>
      </c>
    </row>
    <row r="5" spans="1:3" x14ac:dyDescent="0.3">
      <c r="A5" t="s">
        <v>2041</v>
      </c>
      <c r="B5" t="s">
        <v>2042</v>
      </c>
      <c r="C5" t="s">
        <v>2043</v>
      </c>
    </row>
    <row r="6" spans="1:3" x14ac:dyDescent="0.3">
      <c r="A6" t="s">
        <v>2044</v>
      </c>
      <c r="B6" t="s">
        <v>2045</v>
      </c>
      <c r="C6" t="s">
        <v>2046</v>
      </c>
    </row>
    <row r="7" spans="1:3" x14ac:dyDescent="0.3">
      <c r="A7" t="s">
        <v>2047</v>
      </c>
      <c r="B7" t="s">
        <v>2048</v>
      </c>
      <c r="C7" t="s">
        <v>2049</v>
      </c>
    </row>
    <row r="8" spans="1:3" x14ac:dyDescent="0.3">
      <c r="A8" t="s">
        <v>2050</v>
      </c>
      <c r="B8" t="s">
        <v>2051</v>
      </c>
      <c r="C8" t="s">
        <v>2052</v>
      </c>
    </row>
    <row r="9" spans="1:3" x14ac:dyDescent="0.3">
      <c r="A9" t="s">
        <v>2053</v>
      </c>
      <c r="B9" t="s">
        <v>2054</v>
      </c>
      <c r="C9" t="s">
        <v>2055</v>
      </c>
    </row>
    <row r="10" spans="1:3" x14ac:dyDescent="0.3">
      <c r="A10" t="s">
        <v>2056</v>
      </c>
      <c r="B10" t="s">
        <v>2057</v>
      </c>
      <c r="C10" t="s">
        <v>2058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3"/>
  <sheetViews>
    <sheetView workbookViewId="0"/>
  </sheetViews>
  <sheetFormatPr defaultRowHeight="14.4" x14ac:dyDescent="0.3"/>
  <sheetData>
    <row r="1" spans="1:3" x14ac:dyDescent="0.3">
      <c r="A1" t="s">
        <v>2059</v>
      </c>
      <c r="B1" t="s">
        <v>612</v>
      </c>
      <c r="C1" t="s">
        <v>613</v>
      </c>
    </row>
    <row r="3" spans="1:3" x14ac:dyDescent="0.3">
      <c r="A3" t="s">
        <v>2060</v>
      </c>
      <c r="B3" t="s">
        <v>2061</v>
      </c>
      <c r="C3" t="s">
        <v>2062</v>
      </c>
    </row>
    <row r="4" spans="1:3" x14ac:dyDescent="0.3">
      <c r="A4" t="s">
        <v>2063</v>
      </c>
      <c r="B4" t="s">
        <v>2064</v>
      </c>
      <c r="C4" t="s">
        <v>2065</v>
      </c>
    </row>
    <row r="5" spans="1:3" x14ac:dyDescent="0.3">
      <c r="A5" t="s">
        <v>2066</v>
      </c>
      <c r="B5" t="s">
        <v>2067</v>
      </c>
      <c r="C5" t="s">
        <v>2068</v>
      </c>
    </row>
    <row r="6" spans="1:3" x14ac:dyDescent="0.3">
      <c r="A6" t="s">
        <v>2069</v>
      </c>
      <c r="B6" t="s">
        <v>2070</v>
      </c>
      <c r="C6" t="s">
        <v>2071</v>
      </c>
    </row>
    <row r="7" spans="1:3" x14ac:dyDescent="0.3">
      <c r="A7" t="s">
        <v>2072</v>
      </c>
      <c r="B7" t="s">
        <v>2073</v>
      </c>
      <c r="C7" t="s">
        <v>2074</v>
      </c>
    </row>
    <row r="8" spans="1:3" x14ac:dyDescent="0.3">
      <c r="A8" t="s">
        <v>2075</v>
      </c>
      <c r="B8" t="s">
        <v>2076</v>
      </c>
      <c r="C8" t="s">
        <v>2077</v>
      </c>
    </row>
    <row r="9" spans="1:3" x14ac:dyDescent="0.3">
      <c r="A9" t="s">
        <v>2078</v>
      </c>
      <c r="B9" t="s">
        <v>2079</v>
      </c>
      <c r="C9" t="s">
        <v>2080</v>
      </c>
    </row>
    <row r="10" spans="1:3" x14ac:dyDescent="0.3">
      <c r="A10" t="s">
        <v>2081</v>
      </c>
      <c r="B10" t="s">
        <v>2082</v>
      </c>
      <c r="C10" t="s">
        <v>2083</v>
      </c>
    </row>
    <row r="11" spans="1:3" x14ac:dyDescent="0.3">
      <c r="A11" t="s">
        <v>2084</v>
      </c>
      <c r="B11" t="s">
        <v>2085</v>
      </c>
      <c r="C11" t="s">
        <v>2086</v>
      </c>
    </row>
    <row r="12" spans="1:3" x14ac:dyDescent="0.3">
      <c r="A12" t="s">
        <v>2087</v>
      </c>
      <c r="B12" t="s">
        <v>2088</v>
      </c>
      <c r="C12" t="s">
        <v>2089</v>
      </c>
    </row>
    <row r="13" spans="1:3" x14ac:dyDescent="0.3">
      <c r="A13" t="s">
        <v>2090</v>
      </c>
      <c r="B13" t="s">
        <v>2091</v>
      </c>
      <c r="C13" t="s">
        <v>2092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3"/>
  <sheetViews>
    <sheetView workbookViewId="0"/>
  </sheetViews>
  <sheetFormatPr defaultRowHeight="14.4" x14ac:dyDescent="0.3"/>
  <sheetData>
    <row r="1" spans="1:4" x14ac:dyDescent="0.3">
      <c r="A1" t="s">
        <v>2093</v>
      </c>
      <c r="B1" t="s">
        <v>612</v>
      </c>
      <c r="C1" t="s">
        <v>613</v>
      </c>
      <c r="D1" t="s">
        <v>614</v>
      </c>
    </row>
    <row r="3" spans="1:4" x14ac:dyDescent="0.3">
      <c r="A3" t="s">
        <v>2094</v>
      </c>
      <c r="B3" t="s">
        <v>2095</v>
      </c>
      <c r="C3" t="s">
        <v>2096</v>
      </c>
      <c r="D3" t="s">
        <v>2097</v>
      </c>
    </row>
    <row r="4" spans="1:4" x14ac:dyDescent="0.3">
      <c r="A4" t="s">
        <v>2098</v>
      </c>
      <c r="B4" t="s">
        <v>2099</v>
      </c>
      <c r="C4" t="s">
        <v>2100</v>
      </c>
      <c r="D4" t="s">
        <v>2101</v>
      </c>
    </row>
    <row r="5" spans="1:4" x14ac:dyDescent="0.3">
      <c r="A5" t="s">
        <v>2102</v>
      </c>
      <c r="B5" t="s">
        <v>2103</v>
      </c>
      <c r="C5" t="s">
        <v>2104</v>
      </c>
      <c r="D5" t="s">
        <v>2105</v>
      </c>
    </row>
    <row r="6" spans="1:4" x14ac:dyDescent="0.3">
      <c r="A6" t="s">
        <v>2106</v>
      </c>
      <c r="B6" t="s">
        <v>2107</v>
      </c>
      <c r="C6" t="s">
        <v>1165</v>
      </c>
      <c r="D6" t="s">
        <v>2108</v>
      </c>
    </row>
    <row r="7" spans="1:4" x14ac:dyDescent="0.3">
      <c r="A7" t="s">
        <v>2109</v>
      </c>
      <c r="B7" t="s">
        <v>2110</v>
      </c>
      <c r="C7" t="s">
        <v>2111</v>
      </c>
      <c r="D7" t="s">
        <v>2112</v>
      </c>
    </row>
    <row r="8" spans="1:4" x14ac:dyDescent="0.3">
      <c r="A8" t="s">
        <v>2113</v>
      </c>
      <c r="B8" t="s">
        <v>2000</v>
      </c>
      <c r="C8" t="s">
        <v>2114</v>
      </c>
      <c r="D8" t="s">
        <v>2115</v>
      </c>
    </row>
    <row r="9" spans="1:4" x14ac:dyDescent="0.3">
      <c r="A9" t="s">
        <v>2116</v>
      </c>
      <c r="B9" t="s">
        <v>2117</v>
      </c>
      <c r="C9" t="s">
        <v>2118</v>
      </c>
      <c r="D9" t="s">
        <v>2119</v>
      </c>
    </row>
    <row r="10" spans="1:4" x14ac:dyDescent="0.3">
      <c r="A10" t="s">
        <v>2120</v>
      </c>
      <c r="B10" t="s">
        <v>2121</v>
      </c>
      <c r="C10" t="s">
        <v>2122</v>
      </c>
      <c r="D10" t="s">
        <v>2123</v>
      </c>
    </row>
    <row r="11" spans="1:4" x14ac:dyDescent="0.3">
      <c r="A11" t="s">
        <v>2124</v>
      </c>
      <c r="B11" t="s">
        <v>2011</v>
      </c>
      <c r="C11" t="s">
        <v>1772</v>
      </c>
      <c r="D11" t="s">
        <v>2125</v>
      </c>
    </row>
    <row r="12" spans="1:4" x14ac:dyDescent="0.3">
      <c r="A12" t="s">
        <v>2126</v>
      </c>
      <c r="B12" t="s">
        <v>2127</v>
      </c>
      <c r="C12" t="s">
        <v>2128</v>
      </c>
      <c r="D12" t="s">
        <v>2129</v>
      </c>
    </row>
    <row r="13" spans="1:4" x14ac:dyDescent="0.3">
      <c r="A13" t="s">
        <v>2130</v>
      </c>
      <c r="B13" t="s">
        <v>6</v>
      </c>
      <c r="C13" t="s">
        <v>2131</v>
      </c>
      <c r="D13" t="s">
        <v>2132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13"/>
  <sheetViews>
    <sheetView workbookViewId="0"/>
  </sheetViews>
  <sheetFormatPr defaultRowHeight="14.4" x14ac:dyDescent="0.3"/>
  <sheetData>
    <row r="1" spans="1:3" x14ac:dyDescent="0.3">
      <c r="A1" t="s">
        <v>2133</v>
      </c>
      <c r="B1" t="s">
        <v>612</v>
      </c>
      <c r="C1" t="s">
        <v>613</v>
      </c>
    </row>
    <row r="3" spans="1:3" x14ac:dyDescent="0.3">
      <c r="A3" t="s">
        <v>2134</v>
      </c>
      <c r="B3" t="s">
        <v>2135</v>
      </c>
      <c r="C3" t="s">
        <v>176</v>
      </c>
    </row>
    <row r="4" spans="1:3" x14ac:dyDescent="0.3">
      <c r="A4" t="s">
        <v>2136</v>
      </c>
      <c r="B4" t="s">
        <v>2137</v>
      </c>
      <c r="C4" t="s">
        <v>2138</v>
      </c>
    </row>
    <row r="5" spans="1:3" x14ac:dyDescent="0.3">
      <c r="A5" t="s">
        <v>2139</v>
      </c>
      <c r="B5" t="s">
        <v>2137</v>
      </c>
      <c r="C5" t="s">
        <v>2140</v>
      </c>
    </row>
    <row r="6" spans="1:3" x14ac:dyDescent="0.3">
      <c r="A6" t="s">
        <v>2141</v>
      </c>
      <c r="B6" t="s">
        <v>2142</v>
      </c>
      <c r="C6" t="s">
        <v>2143</v>
      </c>
    </row>
    <row r="7" spans="1:3" x14ac:dyDescent="0.3">
      <c r="A7" t="s">
        <v>2144</v>
      </c>
      <c r="B7" t="s">
        <v>2145</v>
      </c>
      <c r="C7" t="s">
        <v>2146</v>
      </c>
    </row>
    <row r="8" spans="1:3" x14ac:dyDescent="0.3">
      <c r="A8" t="s">
        <v>2147</v>
      </c>
      <c r="B8" t="s">
        <v>2137</v>
      </c>
      <c r="C8" t="s">
        <v>2148</v>
      </c>
    </row>
    <row r="9" spans="1:3" x14ac:dyDescent="0.3">
      <c r="A9" t="s">
        <v>2149</v>
      </c>
      <c r="B9" t="s">
        <v>2137</v>
      </c>
      <c r="C9" t="s">
        <v>2150</v>
      </c>
    </row>
    <row r="10" spans="1:3" x14ac:dyDescent="0.3">
      <c r="A10" t="s">
        <v>2151</v>
      </c>
      <c r="B10" t="s">
        <v>2142</v>
      </c>
      <c r="C10" t="s">
        <v>2152</v>
      </c>
    </row>
    <row r="11" spans="1:3" x14ac:dyDescent="0.3">
      <c r="A11" t="s">
        <v>2153</v>
      </c>
      <c r="B11" t="s">
        <v>2137</v>
      </c>
      <c r="C11" t="s">
        <v>2154</v>
      </c>
    </row>
    <row r="12" spans="1:3" x14ac:dyDescent="0.3">
      <c r="A12" t="s">
        <v>2155</v>
      </c>
      <c r="B12" t="s">
        <v>2142</v>
      </c>
      <c r="C12" t="s">
        <v>2077</v>
      </c>
    </row>
    <row r="13" spans="1:3" x14ac:dyDescent="0.3">
      <c r="A13" t="s">
        <v>2156</v>
      </c>
      <c r="B13" t="s">
        <v>2157</v>
      </c>
      <c r="C13" t="s">
        <v>2158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8"/>
  <sheetViews>
    <sheetView workbookViewId="0"/>
  </sheetViews>
  <sheetFormatPr defaultRowHeight="14.4" x14ac:dyDescent="0.3"/>
  <sheetData>
    <row r="1" spans="1:4" x14ac:dyDescent="0.3">
      <c r="A1" t="s">
        <v>2159</v>
      </c>
      <c r="B1" t="s">
        <v>612</v>
      </c>
      <c r="C1" t="s">
        <v>613</v>
      </c>
      <c r="D1" t="s">
        <v>614</v>
      </c>
    </row>
    <row r="3" spans="1:4" x14ac:dyDescent="0.3">
      <c r="A3" t="s">
        <v>1807</v>
      </c>
      <c r="B3" t="s">
        <v>1808</v>
      </c>
      <c r="C3" t="s">
        <v>1809</v>
      </c>
      <c r="D3" t="s">
        <v>1810</v>
      </c>
    </row>
    <row r="4" spans="1:4" x14ac:dyDescent="0.3">
      <c r="A4" t="s">
        <v>1811</v>
      </c>
      <c r="B4" t="s">
        <v>1812</v>
      </c>
      <c r="C4" t="s">
        <v>1813</v>
      </c>
      <c r="D4" t="s">
        <v>1814</v>
      </c>
    </row>
    <row r="5" spans="1:4" x14ac:dyDescent="0.3">
      <c r="A5" t="s">
        <v>1815</v>
      </c>
      <c r="B5" t="s">
        <v>1816</v>
      </c>
      <c r="C5" t="s">
        <v>1817</v>
      </c>
      <c r="D5" t="s">
        <v>1814</v>
      </c>
    </row>
    <row r="6" spans="1:4" x14ac:dyDescent="0.3">
      <c r="A6" t="s">
        <v>1818</v>
      </c>
      <c r="B6" t="s">
        <v>1819</v>
      </c>
      <c r="C6" t="s">
        <v>1820</v>
      </c>
      <c r="D6" t="s">
        <v>1821</v>
      </c>
    </row>
    <row r="7" spans="1:4" x14ac:dyDescent="0.3">
      <c r="A7" t="s">
        <v>1822</v>
      </c>
      <c r="B7" t="s">
        <v>1823</v>
      </c>
      <c r="C7" t="s">
        <v>1824</v>
      </c>
      <c r="D7" t="s">
        <v>1825</v>
      </c>
    </row>
    <row r="8" spans="1:4" x14ac:dyDescent="0.3">
      <c r="A8" t="s">
        <v>1826</v>
      </c>
      <c r="B8" t="s">
        <v>1827</v>
      </c>
      <c r="C8" t="s">
        <v>1828</v>
      </c>
      <c r="D8" t="s">
        <v>1829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12"/>
  <sheetViews>
    <sheetView workbookViewId="0"/>
  </sheetViews>
  <sheetFormatPr defaultRowHeight="14.4" x14ac:dyDescent="0.3"/>
  <sheetData>
    <row r="1" spans="1:1" x14ac:dyDescent="0.3">
      <c r="A1" t="s">
        <v>2160</v>
      </c>
    </row>
    <row r="3" spans="1:1" x14ac:dyDescent="0.3">
      <c r="A3" t="s">
        <v>2161</v>
      </c>
    </row>
    <row r="4" spans="1:1" x14ac:dyDescent="0.3">
      <c r="A4" t="s">
        <v>2162</v>
      </c>
    </row>
    <row r="5" spans="1:1" x14ac:dyDescent="0.3">
      <c r="A5" t="s">
        <v>2163</v>
      </c>
    </row>
    <row r="6" spans="1:1" x14ac:dyDescent="0.3">
      <c r="A6" t="s">
        <v>2164</v>
      </c>
    </row>
    <row r="7" spans="1:1" x14ac:dyDescent="0.3">
      <c r="A7" t="s">
        <v>2165</v>
      </c>
    </row>
    <row r="8" spans="1:1" x14ac:dyDescent="0.3">
      <c r="A8" t="s">
        <v>2166</v>
      </c>
    </row>
    <row r="9" spans="1:1" x14ac:dyDescent="0.3">
      <c r="A9" t="s">
        <v>2167</v>
      </c>
    </row>
    <row r="10" spans="1:1" x14ac:dyDescent="0.3">
      <c r="A10" t="s">
        <v>2168</v>
      </c>
    </row>
    <row r="11" spans="1:1" x14ac:dyDescent="0.3">
      <c r="A11" t="s">
        <v>2169</v>
      </c>
    </row>
    <row r="12" spans="1:1" x14ac:dyDescent="0.3">
      <c r="A12" t="s">
        <v>2170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8"/>
  <sheetViews>
    <sheetView workbookViewId="0"/>
  </sheetViews>
  <sheetFormatPr defaultRowHeight="14.4" x14ac:dyDescent="0.3"/>
  <sheetData>
    <row r="1" spans="1:3" x14ac:dyDescent="0.3">
      <c r="A1" t="s">
        <v>2171</v>
      </c>
      <c r="B1" t="s">
        <v>612</v>
      </c>
      <c r="C1" t="s">
        <v>613</v>
      </c>
    </row>
    <row r="3" spans="1:3" x14ac:dyDescent="0.3">
      <c r="A3" t="s">
        <v>2172</v>
      </c>
      <c r="B3" t="s">
        <v>2173</v>
      </c>
      <c r="C3" t="s">
        <v>2174</v>
      </c>
    </row>
    <row r="4" spans="1:3" x14ac:dyDescent="0.3">
      <c r="A4" t="s">
        <v>2175</v>
      </c>
      <c r="B4" t="s">
        <v>2176</v>
      </c>
      <c r="C4" t="s">
        <v>2177</v>
      </c>
    </row>
    <row r="5" spans="1:3" x14ac:dyDescent="0.3">
      <c r="A5" t="s">
        <v>2178</v>
      </c>
      <c r="B5" t="s">
        <v>2179</v>
      </c>
      <c r="C5" t="s">
        <v>2180</v>
      </c>
    </row>
    <row r="6" spans="1:3" x14ac:dyDescent="0.3">
      <c r="A6" t="s">
        <v>2181</v>
      </c>
      <c r="B6" t="s">
        <v>2182</v>
      </c>
      <c r="C6" t="s">
        <v>2183</v>
      </c>
    </row>
    <row r="7" spans="1:3" x14ac:dyDescent="0.3">
      <c r="A7" t="s">
        <v>2184</v>
      </c>
      <c r="B7" t="s">
        <v>2185</v>
      </c>
      <c r="C7" t="s">
        <v>2186</v>
      </c>
    </row>
    <row r="8" spans="1:3" x14ac:dyDescent="0.3">
      <c r="A8" t="s">
        <v>2187</v>
      </c>
      <c r="B8" t="s">
        <v>2188</v>
      </c>
      <c r="C8" t="s">
        <v>2189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3"/>
  <sheetViews>
    <sheetView workbookViewId="0"/>
  </sheetViews>
  <sheetFormatPr defaultRowHeight="14.4" x14ac:dyDescent="0.3"/>
  <sheetData>
    <row r="1" spans="1:3" x14ac:dyDescent="0.3">
      <c r="A1" t="s">
        <v>2190</v>
      </c>
      <c r="B1" t="s">
        <v>612</v>
      </c>
      <c r="C1" t="s">
        <v>613</v>
      </c>
    </row>
    <row r="3" spans="1:3" x14ac:dyDescent="0.3">
      <c r="A3" t="s">
        <v>2191</v>
      </c>
      <c r="B3" t="s">
        <v>2192</v>
      </c>
      <c r="C3" t="s">
        <v>2193</v>
      </c>
    </row>
    <row r="4" spans="1:3" x14ac:dyDescent="0.3">
      <c r="A4" t="s">
        <v>2194</v>
      </c>
      <c r="B4" t="s">
        <v>2195</v>
      </c>
      <c r="C4" t="s">
        <v>2150</v>
      </c>
    </row>
    <row r="5" spans="1:3" x14ac:dyDescent="0.3">
      <c r="A5" t="s">
        <v>2196</v>
      </c>
      <c r="B5" t="s">
        <v>2195</v>
      </c>
      <c r="C5" t="s">
        <v>2197</v>
      </c>
    </row>
    <row r="6" spans="1:3" x14ac:dyDescent="0.3">
      <c r="A6" t="s">
        <v>2198</v>
      </c>
      <c r="B6" t="s">
        <v>2195</v>
      </c>
      <c r="C6" t="s">
        <v>2146</v>
      </c>
    </row>
    <row r="7" spans="1:3" x14ac:dyDescent="0.3">
      <c r="A7" t="s">
        <v>2199</v>
      </c>
      <c r="B7" t="s">
        <v>2195</v>
      </c>
      <c r="C7" t="s">
        <v>2200</v>
      </c>
    </row>
    <row r="8" spans="1:3" x14ac:dyDescent="0.3">
      <c r="A8" t="s">
        <v>2201</v>
      </c>
      <c r="B8" t="s">
        <v>2195</v>
      </c>
      <c r="C8" t="s">
        <v>2202</v>
      </c>
    </row>
    <row r="9" spans="1:3" x14ac:dyDescent="0.3">
      <c r="A9" t="s">
        <v>2203</v>
      </c>
      <c r="B9" t="s">
        <v>2195</v>
      </c>
      <c r="C9" t="s">
        <v>2204</v>
      </c>
    </row>
    <row r="10" spans="1:3" x14ac:dyDescent="0.3">
      <c r="A10" t="s">
        <v>2205</v>
      </c>
      <c r="B10" t="s">
        <v>2206</v>
      </c>
      <c r="C10" t="s">
        <v>2207</v>
      </c>
    </row>
    <row r="11" spans="1:3" x14ac:dyDescent="0.3">
      <c r="A11" t="s">
        <v>2208</v>
      </c>
      <c r="B11" t="s">
        <v>2195</v>
      </c>
      <c r="C11" t="s">
        <v>2209</v>
      </c>
    </row>
    <row r="12" spans="1:3" x14ac:dyDescent="0.3">
      <c r="A12" t="s">
        <v>2210</v>
      </c>
      <c r="B12" t="s">
        <v>2206</v>
      </c>
      <c r="C12" t="s">
        <v>2211</v>
      </c>
    </row>
    <row r="13" spans="1:3" x14ac:dyDescent="0.3">
      <c r="A13" t="s">
        <v>2212</v>
      </c>
      <c r="B13" t="s">
        <v>2195</v>
      </c>
      <c r="C13" t="s">
        <v>2213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Preço Médio (modelo)</vt:lpstr>
      <vt:lpstr>Preços (forçado)</vt:lpstr>
      <vt:lpstr>Fertilizantes (Catálogo)</vt:lpstr>
      <vt:lpstr>Master (Tabela)</vt:lpstr>
      <vt:lpstr>Lógica Aditivos IN39</vt:lpstr>
      <vt:lpstr>Ranking Mercado BR</vt:lpstr>
      <vt:lpstr>Aditivos IN39 Original</vt:lpstr>
      <vt:lpstr>Insumos IN39 Original</vt:lpstr>
      <vt:lpstr>Categorias (Leitura)</vt:lpstr>
      <vt:lpstr>Banco de Dados</vt:lpstr>
      <vt:lpstr>Guia &amp; Notas</vt:lpstr>
      <vt:lpstr>Importação P&amp;D (claud)</vt:lpstr>
      <vt:lpstr>Importação P&amp;D (coop)</vt:lpstr>
      <vt:lpstr>TDS - Sorbitol 70%</vt:lpstr>
      <vt:lpstr>Dossiê - Sorbitol 70%</vt:lpstr>
      <vt:lpstr>Dossiê P&amp;D (Template)</vt:lpstr>
      <vt:lpstr>SOR70_INDICE</vt:lpstr>
      <vt:lpstr>SOR70_PROP_FIS</vt:lpstr>
      <vt:lpstr>SOR70_PROP_QUIM</vt:lpstr>
      <vt:lpstr>SOR70_REATOR_5000L</vt:lpstr>
      <vt:lpstr>SOR70_OPERACOES</vt:lpstr>
      <vt:lpstr>SOR70_PCC</vt:lpstr>
      <vt:lpstr>SOR70_COMPAT_40P</vt:lpstr>
      <vt:lpstr>SOR70_FORNECEDORES</vt:lpstr>
      <vt:lpstr>SOR70_PERGUNTAS</vt:lpstr>
      <vt:lpstr>SOR70_TROUBLE</vt:lpstr>
      <vt:lpstr>SOR70_COMPAT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Orion Bonotto</cp:lastModifiedBy>
  <dcterms:created xsi:type="dcterms:W3CDTF">2026-04-10T17:41:19Z</dcterms:created>
  <dcterms:modified xsi:type="dcterms:W3CDTF">2026-04-11T19:49:35Z</dcterms:modified>
</cp:coreProperties>
</file>